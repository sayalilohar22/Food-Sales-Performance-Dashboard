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0b0d3b677bae74d6/Desktop/"/>
    </mc:Choice>
  </mc:AlternateContent>
  <xr:revisionPtr revIDLastSave="282" documentId="8_{C2CC0E07-06BB-477B-94E8-CB678B61C065}" xr6:coauthVersionLast="47" xr6:coauthVersionMax="47" xr10:uidLastSave="{E74CD8C3-48FE-47C3-90A3-86A9E0C23D37}"/>
  <bookViews>
    <workbookView xWindow="-108" yWindow="-108" windowWidth="23256" windowHeight="12456" firstSheet="3" activeTab="6" xr2:uid="{2EB5AA2E-C828-4B20-A52B-15D638A0B2D5}"/>
  </bookViews>
  <sheets>
    <sheet name="Total amount vs gender" sheetId="2" r:id="rId1"/>
    <sheet name="Total Amount VS Month" sheetId="4" r:id="rId2"/>
    <sheet name="Total Amount VS FoodItemVS Gend" sheetId="6" r:id="rId3"/>
    <sheet name="Total Amount VS Age Group" sheetId="7" r:id="rId4"/>
    <sheet name="Total Amount VS Food item " sheetId="8" r:id="rId5"/>
    <sheet name="Top 10" sheetId="9" r:id="rId6"/>
    <sheet name="Dashboard" sheetId="13" r:id="rId7"/>
    <sheet name="Data" sheetId="1" r:id="rId8"/>
  </sheets>
  <definedNames>
    <definedName name="_xlnm._FilterDatabase" localSheetId="7" hidden="1">Data!$A$3:$K$3</definedName>
    <definedName name="Slicer_Age_Group">#N/A</definedName>
    <definedName name="Slicer_Food_Item">#N/A</definedName>
    <definedName name="Slicer_Gender">#N/A</definedName>
    <definedName name="Slicer_Month">#N/A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1" l="1"/>
  <c r="F9" i="1"/>
  <c r="F10" i="1"/>
  <c r="F11" i="1"/>
  <c r="F12" i="1"/>
  <c r="F13" i="1"/>
  <c r="F14" i="1"/>
  <c r="F15" i="1"/>
  <c r="F16" i="1"/>
  <c r="F17" i="1"/>
  <c r="F18" i="1"/>
  <c r="F19" i="1"/>
  <c r="F20" i="1"/>
  <c r="F21" i="1"/>
  <c r="F22" i="1"/>
  <c r="K24" i="1"/>
  <c r="F7" i="1"/>
  <c r="H24" i="1"/>
  <c r="F4" i="1"/>
  <c r="F5" i="1"/>
  <c r="C4" i="1"/>
  <c r="C5" i="1"/>
  <c r="C6" i="1"/>
  <c r="C7" i="1"/>
  <c r="C8" i="1"/>
  <c r="C9" i="1"/>
  <c r="C10" i="1"/>
  <c r="C11" i="1"/>
  <c r="C12" i="1"/>
  <c r="C13" i="1"/>
  <c r="C14" i="1"/>
  <c r="C15" i="1"/>
  <c r="C16" i="1"/>
  <c r="C17" i="1"/>
  <c r="C18" i="1"/>
  <c r="C19" i="1"/>
  <c r="C20" i="1"/>
  <c r="C21" i="1"/>
  <c r="C22" i="1"/>
  <c r="C23" i="1"/>
  <c r="F6" i="1"/>
  <c r="F23" i="1"/>
</calcChain>
</file>

<file path=xl/sharedStrings.xml><?xml version="1.0" encoding="utf-8"?>
<sst xmlns="http://schemas.openxmlformats.org/spreadsheetml/2006/main" count="134" uniqueCount="54">
  <si>
    <t>Order ID</t>
  </si>
  <si>
    <t>Date</t>
  </si>
  <si>
    <t>Customer</t>
  </si>
  <si>
    <t>Gender</t>
  </si>
  <si>
    <t>Age</t>
  </si>
  <si>
    <t>Food Item</t>
  </si>
  <si>
    <t>Quantity</t>
  </si>
  <si>
    <t>Price</t>
  </si>
  <si>
    <t>Total</t>
  </si>
  <si>
    <t>Amit</t>
  </si>
  <si>
    <t>Male</t>
  </si>
  <si>
    <t>Pizza</t>
  </si>
  <si>
    <t>Priya</t>
  </si>
  <si>
    <t>Female</t>
  </si>
  <si>
    <t>Burger</t>
  </si>
  <si>
    <t>Rohit</t>
  </si>
  <si>
    <t>Biryani</t>
  </si>
  <si>
    <t>Sneha</t>
  </si>
  <si>
    <t>Sandwich</t>
  </si>
  <si>
    <t>Kiran</t>
  </si>
  <si>
    <t>Neha</t>
  </si>
  <si>
    <t>Ajay</t>
  </si>
  <si>
    <t>Pooja</t>
  </si>
  <si>
    <t>Ramesh</t>
  </si>
  <si>
    <t>Sagar</t>
  </si>
  <si>
    <t>Meena</t>
  </si>
  <si>
    <t>Rahul</t>
  </si>
  <si>
    <t>Komal</t>
  </si>
  <si>
    <t>Akash</t>
  </si>
  <si>
    <t>Nisha</t>
  </si>
  <si>
    <t>Vikas</t>
  </si>
  <si>
    <t>Sonali</t>
  </si>
  <si>
    <t>Deepak</t>
  </si>
  <si>
    <t>Shweta</t>
  </si>
  <si>
    <t>Mahesh</t>
  </si>
  <si>
    <t>Age Group</t>
  </si>
  <si>
    <t>Month</t>
  </si>
  <si>
    <t>Row Labels</t>
  </si>
  <si>
    <t>Grand Total</t>
  </si>
  <si>
    <t>Sum of Total</t>
  </si>
  <si>
    <t>January</t>
  </si>
  <si>
    <t>March</t>
  </si>
  <si>
    <t>May</t>
  </si>
  <si>
    <t>June</t>
  </si>
  <si>
    <t>August</t>
  </si>
  <si>
    <t>September</t>
  </si>
  <si>
    <t>October</t>
  </si>
  <si>
    <t>December</t>
  </si>
  <si>
    <t>(blank)</t>
  </si>
  <si>
    <t>Adult</t>
  </si>
  <si>
    <t>Junior</t>
  </si>
  <si>
    <t>Senior</t>
  </si>
  <si>
    <t>Food sale information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</si>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</sst>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4"/>
      <color theme="1"/>
      <name val="Aptos Narrow"/>
      <family val="2"/>
      <scheme val="minor"/>
    </font>
    <font>
      <b/>
      <sz val="14"/>
      <color rgb="FFFF0000"/>
      <name val="Aptos Narrow"/>
      <family val="2"/>
      <scheme val="minor"/>
    </font>
    <font>
      <b/>
      <sz val="14"/>
      <color theme="1"/>
      <name val="Aptos Narrow"/>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2" fillId="2" borderId="2" xfId="0" applyFont="1" applyFill="1" applyBorder="1" applyAlignment="1">
      <alignment horizontal="center" vertical="center" wrapText="1"/>
    </xf>
    <xf numFmtId="0" fontId="1" fillId="0" borderId="2" xfId="0" applyFont="1" applyBorder="1" applyAlignment="1">
      <alignment vertical="center" wrapText="1"/>
    </xf>
    <xf numFmtId="14" fontId="1" fillId="0" borderId="2" xfId="0" applyNumberFormat="1" applyFont="1" applyBorder="1" applyAlignment="1">
      <alignment vertical="center" wrapText="1"/>
    </xf>
    <xf numFmtId="0" fontId="3" fillId="0" borderId="1" xfId="0" applyFont="1" applyBorder="1" applyAlignment="1">
      <alignment horizontal="center"/>
    </xf>
  </cellXfs>
  <cellStyles count="1">
    <cellStyle name="Normal" xfId="0" builtinId="0"/>
  </cellStyles>
  <dxfs count="0"/>
  <tableStyles count="0" defaultTableStyle="TableStyleMedium2" defaultPivotStyle="PivotStyleLight16"/>
  <colors>
    <mruColors>
      <color rgb="FFFF3399"/>
      <color rgb="FFA747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sales performance dashboard 1.xlsx]Total amount vs gender!PivotTable1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Total Amount VS Gender</a:t>
            </a:r>
          </a:p>
        </c:rich>
      </c:tx>
      <c:overlay val="0"/>
      <c:spPr>
        <a:noFill/>
        <a:ln>
          <a:noFill/>
        </a:ln>
        <a:effectLst/>
      </c:sp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'Total amount vs gender'!$B$3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8-10F7-469C-80CE-BE419E794F3F}"/>
              </c:ext>
            </c:extLst>
          </c:dPt>
          <c:dPt>
            <c:idx val="1"/>
            <c:invertIfNegative val="0"/>
            <c:bubble3D val="0"/>
            <c:extLst>
              <c:ext xmlns:c16="http://schemas.microsoft.com/office/drawing/2014/chart" uri="{C3380CC4-5D6E-409C-BE32-E72D297353CC}">
                <c16:uniqueId val="{00000009-10F7-469C-80CE-BE419E794F3F}"/>
              </c:ext>
            </c:extLst>
          </c:dPt>
          <c:dLbls>
            <c:dLbl>
              <c:idx val="1"/>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0F7-469C-80CE-BE419E794F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'Total amount vs gender'!$A$4:$A$6</c:f>
              <c:strCache>
                <c:ptCount val="2"/>
                <c:pt idx="0">
                  <c:v>Female</c:v>
                </c:pt>
                <c:pt idx="1">
                  <c:v>Male</c:v>
                </c:pt>
              </c:strCache>
            </c:strRef>
          </c:cat>
          <c:val>
            <c:numRef>
              <c:f>'Total amount vs gender'!$B$4:$B$6</c:f>
              <c:numCache>
                <c:formatCode>General</c:formatCode>
                <c:ptCount val="2"/>
                <c:pt idx="0">
                  <c:v>3570</c:v>
                </c:pt>
                <c:pt idx="1">
                  <c:v>3600</c:v>
                </c:pt>
              </c:numCache>
            </c:numRef>
          </c:val>
          <c:extLst>
            <c:ext xmlns:c16="http://schemas.microsoft.com/office/drawing/2014/chart" uri="{C3380CC4-5D6E-409C-BE32-E72D297353CC}">
              <c16:uniqueId val="{0000000A-10F7-469C-80CE-BE419E794F3F}"/>
            </c:ext>
          </c:extLst>
        </c:ser>
        <c:dLbls>
          <c:dLblPos val="ctr"/>
          <c:showLegendKey val="0"/>
          <c:showVal val="1"/>
          <c:showCatName val="0"/>
          <c:showSerName val="0"/>
          <c:showPercent val="0"/>
          <c:showBubbleSize val="0"/>
        </c:dLbls>
        <c:gapWidth val="79"/>
        <c:overlap val="100"/>
        <c:axId val="1188591616"/>
        <c:axId val="1188592096"/>
      </c:barChart>
      <c:catAx>
        <c:axId val="118859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88592096"/>
        <c:crosses val="autoZero"/>
        <c:auto val="1"/>
        <c:lblAlgn val="ctr"/>
        <c:lblOffset val="100"/>
        <c:noMultiLvlLbl val="0"/>
      </c:catAx>
      <c:valAx>
        <c:axId val="1188592096"/>
        <c:scaling>
          <c:orientation val="minMax"/>
        </c:scaling>
        <c:delete val="1"/>
        <c:axPos val="b"/>
        <c:numFmt formatCode="0%" sourceLinked="1"/>
        <c:majorTickMark val="none"/>
        <c:minorTickMark val="none"/>
        <c:tickLblPos val="nextTo"/>
        <c:crossAx val="118859161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sales performance dashboard 1.xlsx]Total Amount VS Month!PivotTable1</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Total Amount VS Month</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Amount VS Month'!$B$3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'Total Amount VS Month'!$A$4:$A$13</c:f>
              <c:strCache>
                <c:ptCount val="9"/>
                <c:pt idx="0">
                  <c:v>January</c:v>
                </c:pt>
                <c:pt idx="1">
                  <c:v>March</c:v>
                </c:pt>
                <c:pt idx="2">
                  <c:v>May</c:v>
                </c:pt>
                <c:pt idx="3">
                  <c:v>June</c:v>
                </c:pt>
                <c:pt idx="4">
                  <c:v>August</c:v>
                </c:pt>
                <c:pt idx="5">
                  <c:v>September</c:v>
                </c:pt>
                <c:pt idx="6">
                  <c:v>October</c:v>
                </c:pt>
                <c:pt idx="7">
                  <c:v>December</c:v>
                </c:pt>
                <c:pt idx="8">
                  <c:v>(blank)</c:v>
                </c:pt>
              </c:strCache>
            </c:strRef>
          </c:cat>
          <c:val>
            <c:numRef>
              <c:f>'Total Amount VS Month'!$B$4:$B$13</c:f>
              <c:numCache>
                <c:formatCode>General</c:formatCode>
                <c:ptCount val="9"/>
                <c:pt idx="0">
                  <c:v>2690</c:v>
                </c:pt>
                <c:pt idx="1">
                  <c:v>1040</c:v>
                </c:pt>
                <c:pt idx="2">
                  <c:v>90</c:v>
                </c:pt>
                <c:pt idx="3">
                  <c:v>1180</c:v>
                </c:pt>
                <c:pt idx="4">
                  <c:v>1290</c:v>
                </c:pt>
                <c:pt idx="5">
                  <c:v>270</c:v>
                </c:pt>
                <c:pt idx="6">
                  <c:v>250</c:v>
                </c:pt>
                <c:pt idx="7">
                  <c:v>360</c:v>
                </c:pt>
              </c:numCache>
            </c:numRef>
          </c:val>
          <c:extLst>
            <c:ext xmlns:c16="http://schemas.microsoft.com/office/drawing/2014/chart" uri="{C3380CC4-5D6E-409C-BE32-E72D297353CC}">
              <c16:uniqueId val="{00000000-D909-4B33-9976-70DAB87976A3}"/>
            </c:ext>
          </c:extLst>
        </c:ser>
        <c:dLbls>
          <c:showLegendKey val="0"/>
          <c:showVal val="0"/>
          <c:showCatName val="0"/>
          <c:showSerName val="0"/>
          <c:showPercent val="0"/>
          <c:showBubbleSize val="0"/>
        </c:dLbls>
        <c:gapWidth val="150"/>
        <c:shape val="box"/>
        <c:axId val="876600784"/>
        <c:axId val="876591664"/>
        <c:axId val="0"/>
      </c:bar3DChart>
      <c:catAx>
        <c:axId val="876600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876591664"/>
        <c:crosses val="autoZero"/>
        <c:auto val="1"/>
        <c:lblAlgn val="ctr"/>
        <c:lblOffset val="100"/>
        <c:noMultiLvlLbl val="0"/>
      </c:catAx>
      <c:valAx>
        <c:axId val="876591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60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sales performance dashboard 1.xlsx]Total Amount VS FoodItemVS Gend!PivotTable3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Amount VS Food item VS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0070C0"/>
          </a:solidFill>
          <a:ln>
            <a:noFill/>
          </a:ln>
          <a:effectLst/>
        </c:spPr>
      </c:pivotFmt>
      <c:pivotFmt>
        <c:idx val="6"/>
        <c:spPr>
          <a:solidFill>
            <a:srgbClr val="0070C0"/>
          </a:solidFill>
          <a:ln>
            <a:noFill/>
          </a:ln>
          <a:effectLst/>
        </c:spPr>
      </c:pivotFmt>
      <c:pivotFmt>
        <c:idx val="7"/>
        <c:spPr>
          <a:solidFill>
            <a:srgbClr val="0070C0"/>
          </a:solidFill>
          <a:ln>
            <a:noFill/>
          </a:ln>
          <a:effectLst/>
        </c:spPr>
      </c:pivotFmt>
      <c:pivotFmt>
        <c:idx val="8"/>
        <c:spPr>
          <a:solidFill>
            <a:srgbClr val="0070C0"/>
          </a:solidFill>
          <a:ln>
            <a:noFill/>
          </a:ln>
          <a:effectLst/>
        </c:spPr>
      </c:pivotFmt>
    </c:pivotFmts>
    <c:plotArea>
      <c:layout/>
      <c:barChart>
        <c:barDir val="bar"/>
        <c:grouping val="clustered"/>
        <c:varyColors val="0"/>
        <c:ser>
          <c:idx val="0"/>
          <c:order val="0"/>
          <c:tx>
            <c:strRef>
              <c:f>'Total Amount VS FoodItemVS Gend'!$B$3</c:f>
              <c:strCache>
                <c:ptCount val="1"/>
                <c:pt idx="0">
                  <c:v>Total</c:v>
                </c:pt>
              </c:strCache>
            </c:strRef>
          </c:tx>
          <c:spPr>
            <a:solidFill>
              <a:schemeClr val="accent1"/>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8-2E49-4735-9A04-3A5BBC797E25}"/>
              </c:ext>
            </c:extLst>
          </c:dPt>
          <c:dPt>
            <c:idx val="1"/>
            <c:invertIfNegative val="0"/>
            <c:bubble3D val="0"/>
            <c:spPr>
              <a:solidFill>
                <a:srgbClr val="FF0000"/>
              </a:solidFill>
              <a:ln>
                <a:noFill/>
              </a:ln>
              <a:effectLst/>
            </c:spPr>
            <c:extLst>
              <c:ext xmlns:c16="http://schemas.microsoft.com/office/drawing/2014/chart" uri="{C3380CC4-5D6E-409C-BE32-E72D297353CC}">
                <c16:uniqueId val="{00000004-2E49-4735-9A04-3A5BBC797E25}"/>
              </c:ext>
            </c:extLst>
          </c:dPt>
          <c:dPt>
            <c:idx val="2"/>
            <c:invertIfNegative val="0"/>
            <c:bubble3D val="0"/>
            <c:spPr>
              <a:solidFill>
                <a:srgbClr val="0070C0"/>
              </a:solidFill>
              <a:ln>
                <a:noFill/>
              </a:ln>
              <a:effectLst/>
            </c:spPr>
            <c:extLst>
              <c:ext xmlns:c16="http://schemas.microsoft.com/office/drawing/2014/chart" uri="{C3380CC4-5D6E-409C-BE32-E72D297353CC}">
                <c16:uniqueId val="{00000007-2E49-4735-9A04-3A5BBC797E25}"/>
              </c:ext>
            </c:extLst>
          </c:dPt>
          <c:dPt>
            <c:idx val="3"/>
            <c:invertIfNegative val="0"/>
            <c:bubble3D val="0"/>
            <c:spPr>
              <a:solidFill>
                <a:srgbClr val="FF0000"/>
              </a:solidFill>
              <a:ln>
                <a:noFill/>
              </a:ln>
              <a:effectLst/>
            </c:spPr>
            <c:extLst>
              <c:ext xmlns:c16="http://schemas.microsoft.com/office/drawing/2014/chart" uri="{C3380CC4-5D6E-409C-BE32-E72D297353CC}">
                <c16:uniqueId val="{00000003-2E49-4735-9A04-3A5BBC797E25}"/>
              </c:ext>
            </c:extLst>
          </c:dPt>
          <c:dPt>
            <c:idx val="4"/>
            <c:invertIfNegative val="0"/>
            <c:bubble3D val="0"/>
            <c:spPr>
              <a:solidFill>
                <a:srgbClr val="0070C0"/>
              </a:solidFill>
              <a:ln>
                <a:noFill/>
              </a:ln>
              <a:effectLst/>
            </c:spPr>
            <c:extLst>
              <c:ext xmlns:c16="http://schemas.microsoft.com/office/drawing/2014/chart" uri="{C3380CC4-5D6E-409C-BE32-E72D297353CC}">
                <c16:uniqueId val="{00000006-2E49-4735-9A04-3A5BBC797E25}"/>
              </c:ext>
            </c:extLst>
          </c:dPt>
          <c:dPt>
            <c:idx val="5"/>
            <c:invertIfNegative val="0"/>
            <c:bubble3D val="0"/>
            <c:spPr>
              <a:solidFill>
                <a:srgbClr val="FF0000"/>
              </a:solidFill>
              <a:ln>
                <a:noFill/>
              </a:ln>
              <a:effectLst/>
            </c:spPr>
            <c:extLst>
              <c:ext xmlns:c16="http://schemas.microsoft.com/office/drawing/2014/chart" uri="{C3380CC4-5D6E-409C-BE32-E72D297353CC}">
                <c16:uniqueId val="{00000002-2E49-4735-9A04-3A5BBC797E25}"/>
              </c:ext>
            </c:extLst>
          </c:dPt>
          <c:dPt>
            <c:idx val="6"/>
            <c:invertIfNegative val="0"/>
            <c:bubble3D val="0"/>
            <c:spPr>
              <a:solidFill>
                <a:srgbClr val="FF0000"/>
              </a:solidFill>
              <a:ln>
                <a:noFill/>
              </a:ln>
              <a:effectLst/>
            </c:spPr>
            <c:extLst>
              <c:ext xmlns:c16="http://schemas.microsoft.com/office/drawing/2014/chart" uri="{C3380CC4-5D6E-409C-BE32-E72D297353CC}">
                <c16:uniqueId val="{00000005-2E49-4735-9A04-3A5BBC797E25}"/>
              </c:ext>
            </c:extLst>
          </c:dPt>
          <c:dPt>
            <c:idx val="7"/>
            <c:invertIfNegative val="0"/>
            <c:bubble3D val="0"/>
            <c:spPr>
              <a:solidFill>
                <a:srgbClr val="0070C0"/>
              </a:solidFill>
              <a:ln>
                <a:noFill/>
              </a:ln>
              <a:effectLst/>
            </c:spPr>
            <c:extLst>
              <c:ext xmlns:c16="http://schemas.microsoft.com/office/drawing/2014/chart" uri="{C3380CC4-5D6E-409C-BE32-E72D297353CC}">
                <c16:uniqueId val="{0000000F-B326-448C-A308-1897A9EF99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'Total Amount VS FoodItemVS Gend'!$A$4:$A$17</c:f>
              <c:multiLvlStrCache>
                <c:ptCount val="8"/>
                <c:lvl>
                  <c:pt idx="0">
                    <c:v>Male</c:v>
                  </c:pt>
                  <c:pt idx="1">
                    <c:v>Female</c:v>
                  </c:pt>
                  <c:pt idx="2">
                    <c:v>Male</c:v>
                  </c:pt>
                  <c:pt idx="3">
                    <c:v>Female</c:v>
                  </c:pt>
                  <c:pt idx="4">
                    <c:v>Male</c:v>
                  </c:pt>
                  <c:pt idx="5">
                    <c:v>Female</c:v>
                  </c:pt>
                  <c:pt idx="6">
                    <c:v>Male</c:v>
                  </c:pt>
                  <c:pt idx="7">
                    <c:v>(blank)</c:v>
                  </c:pt>
                </c:lvl>
                <c:lvl>
                  <c:pt idx="0">
                    <c:v>Biryani</c:v>
                  </c:pt>
                  <c:pt idx="1">
                    <c:v>Burger</c:v>
                  </c:pt>
                  <c:pt idx="3">
                    <c:v>Pizza</c:v>
                  </c:pt>
                  <c:pt idx="5">
                    <c:v>Sandwich</c:v>
                  </c:pt>
                  <c:pt idx="7">
                    <c:v>(blank)</c:v>
                  </c:pt>
                </c:lvl>
              </c:multiLvlStrCache>
            </c:multiLvlStrRef>
          </c:cat>
          <c:val>
            <c:numRef>
              <c:f>'Total Amount VS FoodItemVS Gend'!$B$4:$B$17</c:f>
              <c:numCache>
                <c:formatCode>General</c:formatCode>
                <c:ptCount val="8"/>
                <c:pt idx="0">
                  <c:v>1260</c:v>
                </c:pt>
                <c:pt idx="1">
                  <c:v>960</c:v>
                </c:pt>
                <c:pt idx="2">
                  <c:v>480</c:v>
                </c:pt>
                <c:pt idx="3">
                  <c:v>2250</c:v>
                </c:pt>
                <c:pt idx="4">
                  <c:v>1500</c:v>
                </c:pt>
                <c:pt idx="5">
                  <c:v>360</c:v>
                </c:pt>
                <c:pt idx="6">
                  <c:v>360</c:v>
                </c:pt>
              </c:numCache>
            </c:numRef>
          </c:val>
          <c:extLst>
            <c:ext xmlns:c16="http://schemas.microsoft.com/office/drawing/2014/chart" uri="{C3380CC4-5D6E-409C-BE32-E72D297353CC}">
              <c16:uniqueId val="{00000000-2E49-4735-9A04-3A5BBC797E25}"/>
            </c:ext>
          </c:extLst>
        </c:ser>
        <c:dLbls>
          <c:dLblPos val="outEnd"/>
          <c:showLegendKey val="0"/>
          <c:showVal val="1"/>
          <c:showCatName val="0"/>
          <c:showSerName val="0"/>
          <c:showPercent val="0"/>
          <c:showBubbleSize val="0"/>
        </c:dLbls>
        <c:gapWidth val="182"/>
        <c:axId val="939079312"/>
        <c:axId val="939080272"/>
      </c:barChart>
      <c:catAx>
        <c:axId val="93907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080272"/>
        <c:crosses val="autoZero"/>
        <c:auto val="1"/>
        <c:lblAlgn val="ctr"/>
        <c:lblOffset val="100"/>
        <c:noMultiLvlLbl val="0"/>
      </c:catAx>
      <c:valAx>
        <c:axId val="939080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07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sales performance dashboard 1.xlsx]Total Amount VS Age Group!PivotTable4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Amount</a:t>
            </a:r>
            <a:r>
              <a:rPr lang="en-US" baseline="0"/>
              <a:t> VS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'Total Amount VS Age Group'!$B$3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34-4FB7-8D0E-07DB1A56C3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34-4FB7-8D0E-07DB1A56C3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34-4FB7-8D0E-07DB1A56C3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34-4FB7-8D0E-07DB1A56C32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Amount VS Age Group'!$A$4:$A$8</c:f>
              <c:strCache>
                <c:ptCount val="4"/>
                <c:pt idx="0">
                  <c:v>Adult</c:v>
                </c:pt>
                <c:pt idx="1">
                  <c:v>Junior</c:v>
                </c:pt>
                <c:pt idx="2">
                  <c:v>Senior</c:v>
                </c:pt>
                <c:pt idx="3">
                  <c:v>(blank)</c:v>
                </c:pt>
              </c:strCache>
            </c:strRef>
          </c:cat>
          <c:val>
            <c:numRef>
              <c:f>'Total Amount VS Age Group'!$B$4:$B$8</c:f>
              <c:numCache>
                <c:formatCode>General</c:formatCode>
                <c:ptCount val="4"/>
                <c:pt idx="0">
                  <c:v>2330</c:v>
                </c:pt>
                <c:pt idx="1">
                  <c:v>4590</c:v>
                </c:pt>
                <c:pt idx="2">
                  <c:v>250</c:v>
                </c:pt>
              </c:numCache>
            </c:numRef>
          </c:val>
          <c:extLst>
            <c:ext xmlns:c16="http://schemas.microsoft.com/office/drawing/2014/chart" uri="{C3380CC4-5D6E-409C-BE32-E72D297353CC}">
              <c16:uniqueId val="{00000000-BA58-4FC8-9CEF-143DDB45B1FF}"/>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sales performance dashboard 1.xlsx]Total Amount VS Food item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Amount</a:t>
            </a:r>
            <a:r>
              <a:rPr lang="en-US" baseline="0"/>
              <a:t> VS Food Item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4">
              <a:lumMod val="20000"/>
              <a:lumOff val="80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92D050"/>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'Total Amount VS Food item '!$B$3</c:f>
              <c:strCache>
                <c:ptCount val="1"/>
                <c:pt idx="0">
                  <c:v>Total</c:v>
                </c:pt>
              </c:strCache>
            </c:strRef>
          </c:tx>
          <c:dPt>
            <c:idx val="0"/>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3-75C3-4DFA-B9FD-698052B8B5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BF-4B62-B312-C807598B12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75C3-4DFA-B9FD-698052B8B580}"/>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19BF-4B62-B312-C807598B127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BF-4B62-B312-C807598B12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Amount VS Food item '!$A$4:$A$9</c:f>
              <c:strCache>
                <c:ptCount val="5"/>
                <c:pt idx="0">
                  <c:v>Biryani</c:v>
                </c:pt>
                <c:pt idx="1">
                  <c:v>Burger</c:v>
                </c:pt>
                <c:pt idx="2">
                  <c:v>Pizza</c:v>
                </c:pt>
                <c:pt idx="3">
                  <c:v>Sandwich</c:v>
                </c:pt>
                <c:pt idx="4">
                  <c:v>(blank)</c:v>
                </c:pt>
              </c:strCache>
            </c:strRef>
          </c:cat>
          <c:val>
            <c:numRef>
              <c:f>'Total Amount VS Food item '!$B$4:$B$9</c:f>
              <c:numCache>
                <c:formatCode>General</c:formatCode>
                <c:ptCount val="5"/>
                <c:pt idx="0">
                  <c:v>1260</c:v>
                </c:pt>
                <c:pt idx="1">
                  <c:v>1440</c:v>
                </c:pt>
                <c:pt idx="2">
                  <c:v>3750</c:v>
                </c:pt>
                <c:pt idx="3">
                  <c:v>720</c:v>
                </c:pt>
              </c:numCache>
            </c:numRef>
          </c:val>
          <c:extLst>
            <c:ext xmlns:c16="http://schemas.microsoft.com/office/drawing/2014/chart" uri="{C3380CC4-5D6E-409C-BE32-E72D297353CC}">
              <c16:uniqueId val="{00000000-75C3-4DFA-B9FD-698052B8B58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sales performance dashboard 1.xlsx]Top 10!PivotTable1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10'!$B$3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10'!$A$4:$A$14</c:f>
              <c:strCache>
                <c:ptCount val="10"/>
                <c:pt idx="0">
                  <c:v>Akash</c:v>
                </c:pt>
                <c:pt idx="1">
                  <c:v>Amit</c:v>
                </c:pt>
                <c:pt idx="2">
                  <c:v>Meena</c:v>
                </c:pt>
                <c:pt idx="3">
                  <c:v>Pooja</c:v>
                </c:pt>
                <c:pt idx="4">
                  <c:v>Rahul</c:v>
                </c:pt>
                <c:pt idx="5">
                  <c:v>Rohit</c:v>
                </c:pt>
                <c:pt idx="6">
                  <c:v>Sagar</c:v>
                </c:pt>
                <c:pt idx="7">
                  <c:v>Shweta</c:v>
                </c:pt>
                <c:pt idx="8">
                  <c:v>Sneha</c:v>
                </c:pt>
                <c:pt idx="9">
                  <c:v>Sonali</c:v>
                </c:pt>
              </c:strCache>
            </c:strRef>
          </c:cat>
          <c:val>
            <c:numRef>
              <c:f>'Top 10'!$B$4:$B$14</c:f>
              <c:numCache>
                <c:formatCode>General</c:formatCode>
                <c:ptCount val="10"/>
                <c:pt idx="0">
                  <c:v>500</c:v>
                </c:pt>
                <c:pt idx="1">
                  <c:v>500</c:v>
                </c:pt>
                <c:pt idx="2">
                  <c:v>500</c:v>
                </c:pt>
                <c:pt idx="3">
                  <c:v>750</c:v>
                </c:pt>
                <c:pt idx="4">
                  <c:v>540</c:v>
                </c:pt>
                <c:pt idx="5">
                  <c:v>360</c:v>
                </c:pt>
                <c:pt idx="6">
                  <c:v>480</c:v>
                </c:pt>
                <c:pt idx="7">
                  <c:v>360</c:v>
                </c:pt>
                <c:pt idx="8">
                  <c:v>270</c:v>
                </c:pt>
                <c:pt idx="9">
                  <c:v>1000</c:v>
                </c:pt>
              </c:numCache>
            </c:numRef>
          </c:val>
          <c:smooth val="0"/>
          <c:extLst>
            <c:ext xmlns:c16="http://schemas.microsoft.com/office/drawing/2014/chart" uri="{C3380CC4-5D6E-409C-BE32-E72D297353CC}">
              <c16:uniqueId val="{00000000-D224-44B6-9F91-B8AE9FCFFD0E}"/>
            </c:ext>
          </c:extLst>
        </c:ser>
        <c:dLbls>
          <c:dLblPos val="t"/>
          <c:showLegendKey val="0"/>
          <c:showVal val="1"/>
          <c:showCatName val="0"/>
          <c:showSerName val="0"/>
          <c:showPercent val="0"/>
          <c:showBubbleSize val="0"/>
        </c:dLbls>
        <c:marker val="1"/>
        <c:smooth val="0"/>
        <c:axId val="216556480"/>
        <c:axId val="499336144"/>
      </c:lineChart>
      <c:catAx>
        <c:axId val="21655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336144"/>
        <c:crosses val="autoZero"/>
        <c:auto val="1"/>
        <c:lblAlgn val="ctr"/>
        <c:lblOffset val="100"/>
        <c:noMultiLvlLbl val="0"/>
      </c:catAx>
      <c:valAx>
        <c:axId val="499336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5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sales performance dashboard 1.xlsx]Total Amount VS Food item !PivotTable5</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Total Amount VS Food Item</a:t>
            </a:r>
          </a:p>
        </c:rich>
      </c:tx>
      <c:layout>
        <c:manualLayout>
          <c:xMode val="edge"/>
          <c:yMode val="edge"/>
          <c:x val="0.13601038194061588"/>
          <c:y val="6.01036195866811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
        <c:idx val="2"/>
        <c:spPr>
          <a:solidFill>
            <a:schemeClr val="accent4">
              <a:lumMod val="20000"/>
              <a:lumOff val="80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20000"/>
              <a:lumOff val="8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rgbClr val="92D050"/>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rgbClr val="92D050"/>
          </a:solidFill>
          <a:ln w="19050">
            <a:solidFill>
              <a:schemeClr val="lt1"/>
            </a:solidFill>
          </a:ln>
          <a:effectLst/>
        </c:spPr>
      </c:pivotFmt>
      <c:pivotFmt>
        <c:idx val="16"/>
        <c:spPr>
          <a:solidFill>
            <a:schemeClr val="accent5">
              <a:lumMod val="75000"/>
            </a:schemeClr>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'Total Amount VS Food item '!$B$3</c:f>
              <c:strCache>
                <c:ptCount val="1"/>
                <c:pt idx="0">
                  <c:v>Total</c:v>
                </c:pt>
              </c:strCache>
            </c:strRef>
          </c:tx>
          <c:dPt>
            <c:idx val="0"/>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1-76A5-44C3-B924-ED8D2749DB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A5-44C3-B924-ED8D2749DB8D}"/>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76A5-44C3-B924-ED8D2749DB8D}"/>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76A5-44C3-B924-ED8D2749DB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6A5-44C3-B924-ED8D2749DB8D}"/>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Amount VS Food item '!$A$4:$A$9</c:f>
              <c:strCache>
                <c:ptCount val="5"/>
                <c:pt idx="0">
                  <c:v>Biryani</c:v>
                </c:pt>
                <c:pt idx="1">
                  <c:v>Burger</c:v>
                </c:pt>
                <c:pt idx="2">
                  <c:v>Pizza</c:v>
                </c:pt>
                <c:pt idx="3">
                  <c:v>Sandwich</c:v>
                </c:pt>
                <c:pt idx="4">
                  <c:v>(blank)</c:v>
                </c:pt>
              </c:strCache>
            </c:strRef>
          </c:cat>
          <c:val>
            <c:numRef>
              <c:f>'Total Amount VS Food item '!$B$4:$B$9</c:f>
              <c:numCache>
                <c:formatCode>General</c:formatCode>
                <c:ptCount val="5"/>
                <c:pt idx="0">
                  <c:v>1260</c:v>
                </c:pt>
                <c:pt idx="1">
                  <c:v>1440</c:v>
                </c:pt>
                <c:pt idx="2">
                  <c:v>3750</c:v>
                </c:pt>
                <c:pt idx="3">
                  <c:v>720</c:v>
                </c:pt>
              </c:numCache>
            </c:numRef>
          </c:val>
          <c:extLst>
            <c:ext xmlns:c16="http://schemas.microsoft.com/office/drawing/2014/chart" uri="{C3380CC4-5D6E-409C-BE32-E72D297353CC}">
              <c16:uniqueId val="{0000000A-76A5-44C3-B924-ED8D2749DB8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sales performance dashboard 1.xlsx]Total Amount VS FoodItemVS Gend!PivotTable3</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1"/>
              <a:t>Total Amount VS Food item VS Gender</a:t>
            </a:r>
          </a:p>
        </c:rich>
      </c:tx>
      <c:layout>
        <c:manualLayout>
          <c:xMode val="edge"/>
          <c:yMode val="edge"/>
          <c:x val="9.5306438072169888E-2"/>
          <c:y val="4.64412889468919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
        <c:idx val="4"/>
        <c:spPr>
          <a:solidFill>
            <a:srgbClr val="0070C0"/>
          </a:solidFill>
          <a:ln>
            <a:noFill/>
          </a:ln>
          <a:effectLst/>
        </c:spPr>
      </c:pivotFmt>
      <c:pivotFmt>
        <c:idx val="5"/>
        <c:spPr>
          <a:solidFill>
            <a:srgbClr val="0070C0"/>
          </a:solidFill>
          <a:ln>
            <a:noFill/>
          </a:ln>
          <a:effectLst/>
        </c:spPr>
      </c:pivotFmt>
      <c:pivotFmt>
        <c:idx val="6"/>
        <c:spPr>
          <a:solidFill>
            <a:srgbClr val="0070C0"/>
          </a:solidFill>
          <a:ln>
            <a:noFill/>
          </a:ln>
          <a:effectLst/>
        </c:spPr>
      </c:pivotFmt>
      <c:pivotFmt>
        <c:idx val="7"/>
        <c:spPr>
          <a:solidFill>
            <a:srgbClr val="0070C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pivotFmt>
      <c:pivotFmt>
        <c:idx val="10"/>
        <c:spPr>
          <a:solidFill>
            <a:srgbClr val="FF0000"/>
          </a:solidFill>
          <a:ln>
            <a:noFill/>
          </a:ln>
          <a:effectLst/>
        </c:spPr>
      </c:pivotFmt>
      <c:pivotFmt>
        <c:idx val="11"/>
        <c:spPr>
          <a:solidFill>
            <a:srgbClr val="0070C0"/>
          </a:solidFill>
          <a:ln>
            <a:noFill/>
          </a:ln>
          <a:effectLst/>
        </c:spPr>
      </c:pivotFmt>
      <c:pivotFmt>
        <c:idx val="12"/>
        <c:spPr>
          <a:solidFill>
            <a:srgbClr val="FF0000"/>
          </a:solidFill>
          <a:ln>
            <a:noFill/>
          </a:ln>
          <a:effectLst/>
        </c:spPr>
      </c:pivotFmt>
      <c:pivotFmt>
        <c:idx val="13"/>
        <c:spPr>
          <a:solidFill>
            <a:srgbClr val="0070C0"/>
          </a:solidFill>
          <a:ln>
            <a:noFill/>
          </a:ln>
          <a:effectLst/>
        </c:spPr>
      </c:pivotFmt>
      <c:pivotFmt>
        <c:idx val="14"/>
        <c:spPr>
          <a:solidFill>
            <a:srgbClr val="FF0000"/>
          </a:solidFill>
          <a:ln>
            <a:noFill/>
          </a:ln>
          <a:effectLst/>
        </c:spPr>
      </c:pivotFmt>
      <c:pivotFmt>
        <c:idx val="15"/>
        <c:spPr>
          <a:solidFill>
            <a:srgbClr val="0070C0"/>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70C0"/>
          </a:solidFill>
          <a:ln>
            <a:noFill/>
          </a:ln>
          <a:effectLst/>
        </c:spPr>
      </c:pivotFmt>
      <c:pivotFmt>
        <c:idx val="18"/>
        <c:spPr>
          <a:solidFill>
            <a:srgbClr val="FF0000"/>
          </a:solidFill>
          <a:ln>
            <a:noFill/>
          </a:ln>
          <a:effectLst/>
        </c:spPr>
      </c:pivotFmt>
      <c:pivotFmt>
        <c:idx val="19"/>
        <c:spPr>
          <a:solidFill>
            <a:srgbClr val="0070C0"/>
          </a:solidFill>
          <a:ln>
            <a:noFill/>
          </a:ln>
          <a:effectLst/>
        </c:spPr>
      </c:pivotFmt>
      <c:pivotFmt>
        <c:idx val="20"/>
        <c:spPr>
          <a:solidFill>
            <a:srgbClr val="FF0000"/>
          </a:solidFill>
          <a:ln>
            <a:noFill/>
          </a:ln>
          <a:effectLst/>
        </c:spPr>
      </c:pivotFmt>
      <c:pivotFmt>
        <c:idx val="21"/>
        <c:spPr>
          <a:solidFill>
            <a:srgbClr val="0070C0"/>
          </a:solidFill>
          <a:ln>
            <a:noFill/>
          </a:ln>
          <a:effectLst/>
        </c:spPr>
      </c:pivotFmt>
      <c:pivotFmt>
        <c:idx val="22"/>
        <c:spPr>
          <a:solidFill>
            <a:srgbClr val="FF0000"/>
          </a:solidFill>
          <a:ln>
            <a:noFill/>
          </a:ln>
          <a:effectLst/>
        </c:spPr>
      </c:pivotFmt>
      <c:pivotFmt>
        <c:idx val="23"/>
        <c:spPr>
          <a:solidFill>
            <a:srgbClr val="0070C0"/>
          </a:solidFill>
          <a:ln>
            <a:noFill/>
          </a:ln>
          <a:effectLst/>
        </c:spPr>
      </c:pivotFmt>
    </c:pivotFmts>
    <c:plotArea>
      <c:layout>
        <c:manualLayout>
          <c:layoutTarget val="inner"/>
          <c:xMode val="edge"/>
          <c:yMode val="edge"/>
          <c:x val="0.23908320887044077"/>
          <c:y val="0.20790460804852326"/>
          <c:w val="0.67104509937498857"/>
          <c:h val="0.69551091918809416"/>
        </c:manualLayout>
      </c:layout>
      <c:barChart>
        <c:barDir val="bar"/>
        <c:grouping val="clustered"/>
        <c:varyColors val="0"/>
        <c:ser>
          <c:idx val="0"/>
          <c:order val="0"/>
          <c:tx>
            <c:strRef>
              <c:f>'Total Amount VS FoodItemVS Gend'!$B$3</c:f>
              <c:strCache>
                <c:ptCount val="1"/>
                <c:pt idx="0">
                  <c:v>Total</c:v>
                </c:pt>
              </c:strCache>
            </c:strRef>
          </c:tx>
          <c:spPr>
            <a:solidFill>
              <a:schemeClr val="accent1"/>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FC1F-4AE8-ABE1-592CAF5BC967}"/>
              </c:ext>
            </c:extLst>
          </c:dPt>
          <c:dPt>
            <c:idx val="1"/>
            <c:invertIfNegative val="0"/>
            <c:bubble3D val="0"/>
            <c:spPr>
              <a:solidFill>
                <a:srgbClr val="FF0000"/>
              </a:solidFill>
              <a:ln>
                <a:noFill/>
              </a:ln>
              <a:effectLst/>
            </c:spPr>
            <c:extLst>
              <c:ext xmlns:c16="http://schemas.microsoft.com/office/drawing/2014/chart" uri="{C3380CC4-5D6E-409C-BE32-E72D297353CC}">
                <c16:uniqueId val="{00000003-FC1F-4AE8-ABE1-592CAF5BC967}"/>
              </c:ext>
            </c:extLst>
          </c:dPt>
          <c:dPt>
            <c:idx val="2"/>
            <c:invertIfNegative val="0"/>
            <c:bubble3D val="0"/>
            <c:spPr>
              <a:solidFill>
                <a:srgbClr val="0070C0"/>
              </a:solidFill>
              <a:ln>
                <a:noFill/>
              </a:ln>
              <a:effectLst/>
            </c:spPr>
            <c:extLst>
              <c:ext xmlns:c16="http://schemas.microsoft.com/office/drawing/2014/chart" uri="{C3380CC4-5D6E-409C-BE32-E72D297353CC}">
                <c16:uniqueId val="{00000005-FC1F-4AE8-ABE1-592CAF5BC967}"/>
              </c:ext>
            </c:extLst>
          </c:dPt>
          <c:dPt>
            <c:idx val="3"/>
            <c:invertIfNegative val="0"/>
            <c:bubble3D val="0"/>
            <c:spPr>
              <a:solidFill>
                <a:srgbClr val="FF0000"/>
              </a:solidFill>
              <a:ln>
                <a:noFill/>
              </a:ln>
              <a:effectLst/>
            </c:spPr>
            <c:extLst>
              <c:ext xmlns:c16="http://schemas.microsoft.com/office/drawing/2014/chart" uri="{C3380CC4-5D6E-409C-BE32-E72D297353CC}">
                <c16:uniqueId val="{00000007-FC1F-4AE8-ABE1-592CAF5BC967}"/>
              </c:ext>
            </c:extLst>
          </c:dPt>
          <c:dPt>
            <c:idx val="4"/>
            <c:invertIfNegative val="0"/>
            <c:bubble3D val="0"/>
            <c:spPr>
              <a:solidFill>
                <a:srgbClr val="0070C0"/>
              </a:solidFill>
              <a:ln>
                <a:noFill/>
              </a:ln>
              <a:effectLst/>
            </c:spPr>
            <c:extLst>
              <c:ext xmlns:c16="http://schemas.microsoft.com/office/drawing/2014/chart" uri="{C3380CC4-5D6E-409C-BE32-E72D297353CC}">
                <c16:uniqueId val="{00000009-FC1F-4AE8-ABE1-592CAF5BC967}"/>
              </c:ext>
            </c:extLst>
          </c:dPt>
          <c:dPt>
            <c:idx val="5"/>
            <c:invertIfNegative val="0"/>
            <c:bubble3D val="0"/>
            <c:spPr>
              <a:solidFill>
                <a:srgbClr val="FF0000"/>
              </a:solidFill>
              <a:ln>
                <a:noFill/>
              </a:ln>
              <a:effectLst/>
            </c:spPr>
            <c:extLst>
              <c:ext xmlns:c16="http://schemas.microsoft.com/office/drawing/2014/chart" uri="{C3380CC4-5D6E-409C-BE32-E72D297353CC}">
                <c16:uniqueId val="{0000000B-FC1F-4AE8-ABE1-592CAF5BC967}"/>
              </c:ext>
            </c:extLst>
          </c:dPt>
          <c:dPt>
            <c:idx val="6"/>
            <c:invertIfNegative val="0"/>
            <c:bubble3D val="0"/>
            <c:spPr>
              <a:solidFill>
                <a:srgbClr val="0070C0"/>
              </a:solidFill>
              <a:ln>
                <a:noFill/>
              </a:ln>
              <a:effectLst/>
            </c:spPr>
            <c:extLst>
              <c:ext xmlns:c16="http://schemas.microsoft.com/office/drawing/2014/chart" uri="{C3380CC4-5D6E-409C-BE32-E72D297353CC}">
                <c16:uniqueId val="{0000000D-FC1F-4AE8-ABE1-592CAF5BC967}"/>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'Total Amount VS FoodItemVS Gend'!$A$4:$A$17</c:f>
              <c:multiLvlStrCache>
                <c:ptCount val="8"/>
                <c:lvl>
                  <c:pt idx="0">
                    <c:v>Male</c:v>
                  </c:pt>
                  <c:pt idx="1">
                    <c:v>Female</c:v>
                  </c:pt>
                  <c:pt idx="2">
                    <c:v>Male</c:v>
                  </c:pt>
                  <c:pt idx="3">
                    <c:v>Female</c:v>
                  </c:pt>
                  <c:pt idx="4">
                    <c:v>Male</c:v>
                  </c:pt>
                  <c:pt idx="5">
                    <c:v>Female</c:v>
                  </c:pt>
                  <c:pt idx="6">
                    <c:v>Male</c:v>
                  </c:pt>
                  <c:pt idx="7">
                    <c:v>(blank)</c:v>
                  </c:pt>
                </c:lvl>
                <c:lvl>
                  <c:pt idx="0">
                    <c:v>Biryani</c:v>
                  </c:pt>
                  <c:pt idx="1">
                    <c:v>Burger</c:v>
                  </c:pt>
                  <c:pt idx="3">
                    <c:v>Pizza</c:v>
                  </c:pt>
                  <c:pt idx="5">
                    <c:v>Sandwich</c:v>
                  </c:pt>
                  <c:pt idx="7">
                    <c:v>(blank)</c:v>
                  </c:pt>
                </c:lvl>
              </c:multiLvlStrCache>
            </c:multiLvlStrRef>
          </c:cat>
          <c:val>
            <c:numRef>
              <c:f>'Total Amount VS FoodItemVS Gend'!$B$4:$B$17</c:f>
              <c:numCache>
                <c:formatCode>General</c:formatCode>
                <c:ptCount val="8"/>
                <c:pt idx="0">
                  <c:v>1260</c:v>
                </c:pt>
                <c:pt idx="1">
                  <c:v>960</c:v>
                </c:pt>
                <c:pt idx="2">
                  <c:v>480</c:v>
                </c:pt>
                <c:pt idx="3">
                  <c:v>2250</c:v>
                </c:pt>
                <c:pt idx="4">
                  <c:v>1500</c:v>
                </c:pt>
                <c:pt idx="5">
                  <c:v>360</c:v>
                </c:pt>
                <c:pt idx="6">
                  <c:v>360</c:v>
                </c:pt>
              </c:numCache>
            </c:numRef>
          </c:val>
          <c:extLst>
            <c:ext xmlns:c16="http://schemas.microsoft.com/office/drawing/2014/chart" uri="{C3380CC4-5D6E-409C-BE32-E72D297353CC}">
              <c16:uniqueId val="{0000000E-FC1F-4AE8-ABE1-592CAF5BC967}"/>
            </c:ext>
          </c:extLst>
        </c:ser>
        <c:dLbls>
          <c:dLblPos val="outEnd"/>
          <c:showLegendKey val="0"/>
          <c:showVal val="1"/>
          <c:showCatName val="0"/>
          <c:showSerName val="0"/>
          <c:showPercent val="0"/>
          <c:showBubbleSize val="0"/>
        </c:dLbls>
        <c:gapWidth val="182"/>
        <c:axId val="939079312"/>
        <c:axId val="939080272"/>
      </c:barChart>
      <c:catAx>
        <c:axId val="93907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39080272"/>
        <c:crosses val="autoZero"/>
        <c:auto val="1"/>
        <c:lblAlgn val="ctr"/>
        <c:lblOffset val="100"/>
        <c:noMultiLvlLbl val="0"/>
      </c:catAx>
      <c:valAx>
        <c:axId val="939080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39079312"/>
        <c:crosses val="autoZero"/>
        <c:crossBetween val="between"/>
      </c:valA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sales performance dashboard 1.xlsx]Total Amount VS Month!PivotTable1</c:name>
    <c:fmtId val="16"/>
  </c:pivotSource>
  <c:chart>
    <c:title>
      <c:tx>
        <c:rich>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r>
              <a:rPr lang="en-US" sz="1400" b="1"/>
              <a:t>Total Amount VS Month</a:t>
            </a:r>
          </a:p>
        </c:rich>
      </c:tx>
      <c:layout>
        <c:manualLayout>
          <c:xMode val="edge"/>
          <c:yMode val="edge"/>
          <c:x val="0.12973777629263814"/>
          <c:y val="4.2118377055297272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tx2">
              <a:lumMod val="25000"/>
              <a:lumOff val="75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cap="flat" cmpd="sng" algn="ctr">
            <a:solidFill>
              <a:schemeClr val="accent3">
                <a:shade val="15000"/>
              </a:schemeClr>
            </a:solidFill>
            <a:prstDash val="solid"/>
            <a:miter lim="800000"/>
          </a:ln>
          <a:effectLst/>
          <a:sp3d contourW="19050">
            <a:contourClr>
              <a:schemeClr val="accent3">
                <a:shade val="15000"/>
              </a:schemeClr>
            </a:contourClr>
          </a:sp3d>
        </c:spPr>
      </c:pivotFmt>
      <c:pivotFmt>
        <c:idx val="4"/>
        <c:spPr>
          <a:solidFill>
            <a:schemeClr val="accent2"/>
          </a:solidFill>
          <a:ln w="19050" cap="flat" cmpd="sng" algn="ctr">
            <a:solidFill>
              <a:schemeClr val="accent2">
                <a:shade val="15000"/>
              </a:schemeClr>
            </a:solidFill>
            <a:prstDash val="solid"/>
            <a:miter lim="800000"/>
          </a:ln>
          <a:effectLst/>
          <a:sp3d contourW="19050">
            <a:contourClr>
              <a:schemeClr val="accent2">
                <a:shade val="15000"/>
              </a:schemeClr>
            </a:contourClr>
          </a:sp3d>
        </c:spPr>
      </c:pivotFmt>
      <c:pivotFmt>
        <c:idx val="5"/>
        <c:spPr>
          <a:solidFill>
            <a:schemeClr val="accent2">
              <a:lumMod val="40000"/>
              <a:lumOff val="60000"/>
            </a:schemeClr>
          </a:solidFill>
          <a:ln>
            <a:noFill/>
          </a:ln>
          <a:effectLst/>
          <a:sp3d/>
        </c:spPr>
      </c:pivotFmt>
      <c:pivotFmt>
        <c:idx val="6"/>
        <c:spPr>
          <a:solidFill>
            <a:schemeClr val="tx1">
              <a:lumMod val="75000"/>
              <a:lumOff val="25000"/>
            </a:schemeClr>
          </a:solidFill>
          <a:ln>
            <a:noFill/>
          </a:ln>
          <a:effectLst/>
          <a:sp3d/>
        </c:spPr>
      </c:pivotFmt>
      <c:pivotFmt>
        <c:idx val="7"/>
        <c:spPr>
          <a:solidFill>
            <a:schemeClr val="accent3"/>
          </a:solidFill>
          <a:ln>
            <a:noFill/>
          </a:ln>
          <a:effectLst/>
          <a:sp3d/>
        </c:spPr>
      </c:pivotFmt>
      <c:pivotFmt>
        <c:idx val="8"/>
        <c:spPr>
          <a:solidFill>
            <a:schemeClr val="accent5">
              <a:lumMod val="75000"/>
            </a:schemeClr>
          </a:solidFill>
          <a:ln>
            <a:noFill/>
          </a:ln>
          <a:effectLst/>
          <a:sp3d/>
        </c:spPr>
      </c:pivotFmt>
      <c:pivotFmt>
        <c:idx val="9"/>
        <c:spPr>
          <a:solidFill>
            <a:schemeClr val="accent5">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2700" cap="flat" cmpd="sng" algn="ctr">
          <a:solidFill>
            <a:schemeClr val="accent5"/>
          </a:solidFill>
          <a:prstDash val="solid"/>
          <a:miter lim="800000"/>
        </a:ln>
        <a:effectLst/>
        <a:sp3d contourW="12700">
          <a:contourClr>
            <a:schemeClr val="accent5"/>
          </a:contourClr>
        </a:sp3d>
      </c:spPr>
    </c:sideWall>
    <c:backWall>
      <c:thickness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2700" cap="flat" cmpd="sng" algn="ctr">
          <a:solidFill>
            <a:schemeClr val="accent5"/>
          </a:solidFill>
          <a:prstDash val="solid"/>
          <a:miter lim="800000"/>
        </a:ln>
        <a:effectLst/>
        <a:sp3d contourW="12700">
          <a:contourClr>
            <a:schemeClr val="accent5"/>
          </a:contourClr>
        </a:sp3d>
      </c:spPr>
    </c:backWall>
    <c:plotArea>
      <c:layout/>
      <c:bar3DChart>
        <c:barDir val="col"/>
        <c:grouping val="clustered"/>
        <c:varyColors val="0"/>
        <c:ser>
          <c:idx val="0"/>
          <c:order val="0"/>
          <c:tx>
            <c:strRef>
              <c:f>'Total Amount VS Month'!$B$3</c:f>
              <c:strCache>
                <c:ptCount val="1"/>
                <c:pt idx="0">
                  <c:v>Total</c:v>
                </c:pt>
              </c:strCache>
            </c:strRef>
          </c:tx>
          <c:spPr>
            <a:solidFill>
              <a:schemeClr val="tx2">
                <a:lumMod val="25000"/>
                <a:lumOff val="75000"/>
              </a:schemeClr>
            </a:solidFill>
            <a:ln>
              <a:noFill/>
            </a:ln>
            <a:effectLst/>
            <a:sp3d/>
          </c:spPr>
          <c:invertIfNegative val="0"/>
          <c:dPt>
            <c:idx val="1"/>
            <c:invertIfNegative val="0"/>
            <c:bubble3D val="0"/>
            <c:spPr>
              <a:solidFill>
                <a:schemeClr val="accent3"/>
              </a:solidFill>
              <a:ln w="19050" cap="flat" cmpd="sng" algn="ctr">
                <a:solidFill>
                  <a:schemeClr val="accent3">
                    <a:shade val="15000"/>
                  </a:schemeClr>
                </a:solidFill>
                <a:prstDash val="solid"/>
                <a:miter lim="800000"/>
              </a:ln>
              <a:effectLst/>
              <a:sp3d contourW="19050">
                <a:contourClr>
                  <a:schemeClr val="accent3">
                    <a:shade val="15000"/>
                  </a:schemeClr>
                </a:contourClr>
              </a:sp3d>
            </c:spPr>
            <c:extLst>
              <c:ext xmlns:c16="http://schemas.microsoft.com/office/drawing/2014/chart" uri="{C3380CC4-5D6E-409C-BE32-E72D297353CC}">
                <c16:uniqueId val="{00000000-047D-45AE-B947-AD67860FD3D4}"/>
              </c:ext>
            </c:extLst>
          </c:dPt>
          <c:dPt>
            <c:idx val="2"/>
            <c:invertIfNegative val="0"/>
            <c:bubble3D val="0"/>
            <c:spPr>
              <a:solidFill>
                <a:schemeClr val="accent2"/>
              </a:solidFill>
              <a:ln w="19050" cap="flat" cmpd="sng" algn="ctr">
                <a:solidFill>
                  <a:schemeClr val="accent2">
                    <a:shade val="15000"/>
                  </a:schemeClr>
                </a:solidFill>
                <a:prstDash val="solid"/>
                <a:miter lim="800000"/>
              </a:ln>
              <a:effectLst/>
              <a:sp3d contourW="19050">
                <a:contourClr>
                  <a:schemeClr val="accent2">
                    <a:shade val="15000"/>
                  </a:schemeClr>
                </a:contourClr>
              </a:sp3d>
            </c:spPr>
            <c:extLst>
              <c:ext xmlns:c16="http://schemas.microsoft.com/office/drawing/2014/chart" uri="{C3380CC4-5D6E-409C-BE32-E72D297353CC}">
                <c16:uniqueId val="{00000001-047D-45AE-B947-AD67860FD3D4}"/>
              </c:ext>
            </c:extLst>
          </c:dPt>
          <c:dPt>
            <c:idx val="3"/>
            <c:invertIfNegative val="0"/>
            <c:bubble3D val="0"/>
            <c:spPr>
              <a:solidFill>
                <a:schemeClr val="accent2">
                  <a:lumMod val="40000"/>
                  <a:lumOff val="60000"/>
                </a:schemeClr>
              </a:solidFill>
              <a:ln>
                <a:noFill/>
              </a:ln>
              <a:effectLst/>
              <a:sp3d/>
            </c:spPr>
            <c:extLst>
              <c:ext xmlns:c16="http://schemas.microsoft.com/office/drawing/2014/chart" uri="{C3380CC4-5D6E-409C-BE32-E72D297353CC}">
                <c16:uniqueId val="{00000002-047D-45AE-B947-AD67860FD3D4}"/>
              </c:ext>
            </c:extLst>
          </c:dPt>
          <c:dPt>
            <c:idx val="4"/>
            <c:invertIfNegative val="0"/>
            <c:bubble3D val="0"/>
            <c:spPr>
              <a:solidFill>
                <a:schemeClr val="tx1">
                  <a:lumMod val="75000"/>
                  <a:lumOff val="25000"/>
                </a:schemeClr>
              </a:solidFill>
              <a:ln>
                <a:noFill/>
              </a:ln>
              <a:effectLst/>
              <a:sp3d/>
            </c:spPr>
            <c:extLst>
              <c:ext xmlns:c16="http://schemas.microsoft.com/office/drawing/2014/chart" uri="{C3380CC4-5D6E-409C-BE32-E72D297353CC}">
                <c16:uniqueId val="{00000003-047D-45AE-B947-AD67860FD3D4}"/>
              </c:ext>
            </c:extLst>
          </c:dPt>
          <c:dPt>
            <c:idx val="5"/>
            <c:invertIfNegative val="0"/>
            <c:bubble3D val="0"/>
            <c:spPr>
              <a:solidFill>
                <a:schemeClr val="accent3"/>
              </a:solidFill>
              <a:ln>
                <a:noFill/>
              </a:ln>
              <a:effectLst/>
              <a:sp3d/>
            </c:spPr>
            <c:extLst>
              <c:ext xmlns:c16="http://schemas.microsoft.com/office/drawing/2014/chart" uri="{C3380CC4-5D6E-409C-BE32-E72D297353CC}">
                <c16:uniqueId val="{00000004-047D-45AE-B947-AD67860FD3D4}"/>
              </c:ext>
            </c:extLst>
          </c:dPt>
          <c:dPt>
            <c:idx val="6"/>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5-047D-45AE-B947-AD67860FD3D4}"/>
              </c:ext>
            </c:extLst>
          </c:dPt>
          <c:dPt>
            <c:idx val="7"/>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6-047D-45AE-B947-AD67860FD3D4}"/>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'Total Amount VS Month'!$A$4:$A$13</c:f>
              <c:strCache>
                <c:ptCount val="9"/>
                <c:pt idx="0">
                  <c:v>January</c:v>
                </c:pt>
                <c:pt idx="1">
                  <c:v>March</c:v>
                </c:pt>
                <c:pt idx="2">
                  <c:v>May</c:v>
                </c:pt>
                <c:pt idx="3">
                  <c:v>June</c:v>
                </c:pt>
                <c:pt idx="4">
                  <c:v>August</c:v>
                </c:pt>
                <c:pt idx="5">
                  <c:v>September</c:v>
                </c:pt>
                <c:pt idx="6">
                  <c:v>October</c:v>
                </c:pt>
                <c:pt idx="7">
                  <c:v>December</c:v>
                </c:pt>
                <c:pt idx="8">
                  <c:v>(blank)</c:v>
                </c:pt>
              </c:strCache>
            </c:strRef>
          </c:cat>
          <c:val>
            <c:numRef>
              <c:f>'Total Amount VS Month'!$B$4:$B$13</c:f>
              <c:numCache>
                <c:formatCode>General</c:formatCode>
                <c:ptCount val="9"/>
                <c:pt idx="0">
                  <c:v>2690</c:v>
                </c:pt>
                <c:pt idx="1">
                  <c:v>1040</c:v>
                </c:pt>
                <c:pt idx="2">
                  <c:v>90</c:v>
                </c:pt>
                <c:pt idx="3">
                  <c:v>1180</c:v>
                </c:pt>
                <c:pt idx="4">
                  <c:v>1290</c:v>
                </c:pt>
                <c:pt idx="5">
                  <c:v>270</c:v>
                </c:pt>
                <c:pt idx="6">
                  <c:v>250</c:v>
                </c:pt>
                <c:pt idx="7">
                  <c:v>360</c:v>
                </c:pt>
              </c:numCache>
            </c:numRef>
          </c:val>
          <c:extLst>
            <c:ext xmlns:c16="http://schemas.microsoft.com/office/drawing/2014/chart" uri="{C3380CC4-5D6E-409C-BE32-E72D297353CC}">
              <c16:uniqueId val="{00000000-49D5-4DA3-AC7E-FF6507C175CE}"/>
            </c:ext>
          </c:extLst>
        </c:ser>
        <c:dLbls>
          <c:showLegendKey val="0"/>
          <c:showVal val="0"/>
          <c:showCatName val="0"/>
          <c:showSerName val="0"/>
          <c:showPercent val="0"/>
          <c:showBubbleSize val="0"/>
        </c:dLbls>
        <c:gapWidth val="150"/>
        <c:shape val="box"/>
        <c:axId val="876600784"/>
        <c:axId val="876591664"/>
        <c:axId val="0"/>
      </c:bar3DChart>
      <c:catAx>
        <c:axId val="876600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876591664"/>
        <c:crosses val="autoZero"/>
        <c:auto val="1"/>
        <c:lblAlgn val="ctr"/>
        <c:lblOffset val="100"/>
        <c:noMultiLvlLbl val="0"/>
      </c:catAx>
      <c:valAx>
        <c:axId val="876591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7660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sales performance dashboard 1.xlsx]Total amount vs gender!PivotTable1</c:name>
    <c:fmtId val="37"/>
  </c:pivotSource>
  <c:chart>
    <c:title>
      <c:tx>
        <c:rich>
          <a:bodyPr rot="0" vert="horz"/>
          <a:lstStyle/>
          <a:p>
            <a:pPr>
              <a:defRPr/>
            </a:pPr>
            <a:r>
              <a:rPr lang="en-IN" sz="1400"/>
              <a:t>Total Amount VS Gender</a:t>
            </a:r>
          </a:p>
        </c:rich>
      </c:tx>
      <c:layout>
        <c:manualLayout>
          <c:xMode val="edge"/>
          <c:yMode val="edge"/>
          <c:x val="0.15812924412980167"/>
          <c:y val="2.9471540470458611E-2"/>
        </c:manualLayout>
      </c:layout>
      <c:overlay val="0"/>
      <c:spPr>
        <a:noFill/>
        <a:ln>
          <a:noFill/>
        </a:ln>
        <a:effectLst/>
      </c:sp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2"/>
        <c:spPr>
          <a:solidFill>
            <a:srgbClr val="00B0F0"/>
          </a:solidFill>
          <a:ln>
            <a:noFill/>
          </a:ln>
          <a:effectLst>
            <a:glow rad="101600">
              <a:schemeClr val="accent5">
                <a:satMod val="175000"/>
                <a:alpha val="40000"/>
              </a:schemeClr>
            </a:glow>
          </a:effectLst>
        </c:spPr>
        <c:marker>
          <c:symbol val="none"/>
        </c:marker>
        <c:dLbl>
          <c:idx val="0"/>
          <c:spPr>
            <a:noFill/>
            <a:ln>
              <a:noFill/>
            </a:ln>
            <a:effectLst/>
          </c:spPr>
          <c:txPr>
            <a:bodyPr rot="0" vert="horz"/>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tx>
            <c:rich>
              <a:bodyPr rot="0" vert="horz"/>
              <a:lstStyle/>
              <a:p>
                <a:pPr>
                  <a:defRPr/>
                </a:pPr>
                <a:r>
                  <a:rPr lang="en-US"/>
                  <a:t> </a:t>
                </a:r>
                <a:fld id="{E62A0853-4675-42AD-8328-9011F61381BC}" type="VALUE">
                  <a:rPr lang="en-US"/>
                  <a:pPr>
                    <a:defRPr/>
                  </a:pPr>
                  <a:t>[VALUE]</a:t>
                </a:fld>
                <a:endParaRPr lang="en-US"/>
              </a:p>
            </c:rich>
          </c:tx>
          <c:spPr>
            <a:noFill/>
            <a:ln>
              <a:noFill/>
            </a:ln>
            <a:effectLst/>
          </c:spPr>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FF3399"/>
          </a:solidFill>
          <a:ln>
            <a:noFill/>
          </a:ln>
          <a:effectLst>
            <a:glow rad="101600">
              <a:schemeClr val="accent5">
                <a:satMod val="175000"/>
                <a:alpha val="40000"/>
              </a:schemeClr>
            </a:glow>
          </a:effectLst>
        </c:spPr>
        <c:dLbl>
          <c:idx val="0"/>
          <c:tx>
            <c:rich>
              <a:bodyPr rot="0" vert="horz"/>
              <a:lstStyle/>
              <a:p>
                <a:pPr>
                  <a:defRPr/>
                </a:pPr>
                <a:fld id="{3D55E3E3-85D1-4834-BC55-3263CEAAF29C}" type="VALUE">
                  <a:rPr lang="en-US"/>
                  <a:pPr>
                    <a:defRPr/>
                  </a:pPr>
                  <a:t>[VALUE]</a:t>
                </a:fld>
                <a:endParaRPr lang="en-IN"/>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percentStacked"/>
        <c:varyColors val="0"/>
        <c:ser>
          <c:idx val="0"/>
          <c:order val="0"/>
          <c:tx>
            <c:strRef>
              <c:f>'Total amount vs gender'!$B$3</c:f>
              <c:strCache>
                <c:ptCount val="1"/>
                <c:pt idx="0">
                  <c:v>Total</c:v>
                </c:pt>
              </c:strCache>
            </c:strRef>
          </c:tx>
          <c:spPr>
            <a:solidFill>
              <a:srgbClr val="00B0F0"/>
            </a:solidFill>
            <a:ln>
              <a:noFill/>
            </a:ln>
            <a:effectLst>
              <a:glow rad="101600">
                <a:schemeClr val="accent5">
                  <a:satMod val="175000"/>
                  <a:alpha val="40000"/>
                </a:schemeClr>
              </a:glow>
            </a:effectLst>
          </c:spPr>
          <c:invertIfNegative val="0"/>
          <c:dPt>
            <c:idx val="0"/>
            <c:invertIfNegative val="0"/>
            <c:bubble3D val="0"/>
            <c:spPr>
              <a:solidFill>
                <a:srgbClr val="FF3399"/>
              </a:solidFill>
              <a:ln>
                <a:noFill/>
              </a:ln>
              <a:effectLst>
                <a:glow rad="101600">
                  <a:schemeClr val="accent5">
                    <a:satMod val="175000"/>
                    <a:alpha val="40000"/>
                  </a:schemeClr>
                </a:glow>
              </a:effectLst>
            </c:spPr>
            <c:extLst>
              <c:ext xmlns:c16="http://schemas.microsoft.com/office/drawing/2014/chart" uri="{C3380CC4-5D6E-409C-BE32-E72D297353CC}">
                <c16:uniqueId val="{00000000-ADBB-4A9C-8224-747BFE4E43D7}"/>
              </c:ext>
            </c:extLst>
          </c:dPt>
          <c:dPt>
            <c:idx val="1"/>
            <c:invertIfNegative val="0"/>
            <c:bubble3D val="0"/>
            <c:extLst>
              <c:ext xmlns:c16="http://schemas.microsoft.com/office/drawing/2014/chart" uri="{C3380CC4-5D6E-409C-BE32-E72D297353CC}">
                <c16:uniqueId val="{00000001-ADBB-4A9C-8224-747BFE4E43D7}"/>
              </c:ext>
            </c:extLst>
          </c:dPt>
          <c:dLbls>
            <c:dLbl>
              <c:idx val="0"/>
              <c:tx>
                <c:rich>
                  <a:bodyPr/>
                  <a:lstStyle/>
                  <a:p>
                    <a:fld id="{3D55E3E3-85D1-4834-BC55-3263CEAAF29C}" type="VALUE">
                      <a:rPr lang="en-US"/>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ADBB-4A9C-8224-747BFE4E43D7}"/>
                </c:ext>
              </c:extLst>
            </c:dLbl>
            <c:dLbl>
              <c:idx val="1"/>
              <c:tx>
                <c:rich>
                  <a:bodyPr/>
                  <a:lstStyle/>
                  <a:p>
                    <a:r>
                      <a:rPr lang="en-US"/>
                      <a:t> </a:t>
                    </a:r>
                    <a:fld id="{E62A0853-4675-42AD-8328-9011F61381BC}" type="VALUE">
                      <a:rPr lang="en-US"/>
                      <a:pPr/>
                      <a:t>[VALUE]</a:t>
                    </a:fld>
                    <a:endParaRPr lang="en-US"/>
                  </a:p>
                </c:rich>
              </c:tx>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DBB-4A9C-8224-747BFE4E43D7}"/>
                </c:ext>
              </c:extLst>
            </c:dLbl>
            <c:spPr>
              <a:noFill/>
              <a:ln>
                <a:noFill/>
              </a:ln>
              <a:effectLst/>
            </c:spPr>
            <c:txPr>
              <a:bodyPr rot="0" vert="horz"/>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'Total amount vs gender'!$A$4:$A$6</c:f>
              <c:strCache>
                <c:ptCount val="2"/>
                <c:pt idx="0">
                  <c:v>Female</c:v>
                </c:pt>
                <c:pt idx="1">
                  <c:v>Male</c:v>
                </c:pt>
              </c:strCache>
            </c:strRef>
          </c:cat>
          <c:val>
            <c:numRef>
              <c:f>'Total amount vs gender'!$B$4:$B$6</c:f>
              <c:numCache>
                <c:formatCode>General</c:formatCode>
                <c:ptCount val="2"/>
                <c:pt idx="0">
                  <c:v>3570</c:v>
                </c:pt>
                <c:pt idx="1">
                  <c:v>3600</c:v>
                </c:pt>
              </c:numCache>
            </c:numRef>
          </c:val>
          <c:extLst>
            <c:ext xmlns:c16="http://schemas.microsoft.com/office/drawing/2014/chart" uri="{C3380CC4-5D6E-409C-BE32-E72D297353CC}">
              <c16:uniqueId val="{00000002-ADBB-4A9C-8224-747BFE4E43D7}"/>
            </c:ext>
          </c:extLst>
        </c:ser>
        <c:dLbls>
          <c:dLblPos val="ctr"/>
          <c:showLegendKey val="0"/>
          <c:showVal val="1"/>
          <c:showCatName val="0"/>
          <c:showSerName val="0"/>
          <c:showPercent val="0"/>
          <c:showBubbleSize val="0"/>
        </c:dLbls>
        <c:gapWidth val="79"/>
        <c:overlap val="100"/>
        <c:axId val="1188591616"/>
        <c:axId val="1188592096"/>
      </c:barChart>
      <c:catAx>
        <c:axId val="118859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188592096"/>
        <c:crosses val="autoZero"/>
        <c:auto val="1"/>
        <c:lblAlgn val="ctr"/>
        <c:lblOffset val="100"/>
        <c:noMultiLvlLbl val="0"/>
      </c:catAx>
      <c:valAx>
        <c:axId val="1188592096"/>
        <c:scaling>
          <c:orientation val="minMax"/>
        </c:scaling>
        <c:delete val="1"/>
        <c:axPos val="b"/>
        <c:numFmt formatCode="0%" sourceLinked="1"/>
        <c:majorTickMark val="none"/>
        <c:minorTickMark val="none"/>
        <c:tickLblPos val="nextTo"/>
        <c:crossAx val="1188591616"/>
        <c:crosses val="autoZero"/>
        <c:crossBetween val="between"/>
      </c:valAx>
    </c:plotArea>
    <c:plotVisOnly val="1"/>
    <c:dispBlanksAs val="gap"/>
    <c:showDLblsOverMax val="0"/>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sales performance dashboard 1.xlsx]Top 10!PivotTable1</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Top 10 customer</a:t>
            </a:r>
          </a:p>
        </c:rich>
      </c:tx>
      <c:layout>
        <c:manualLayout>
          <c:xMode val="edge"/>
          <c:yMode val="edge"/>
          <c:x val="0.3391978749803401"/>
          <c:y val="0.1416157921575775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5">
                <a:lumMod val="75000"/>
              </a:schemeClr>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10'!$B$3</c:f>
              <c:strCache>
                <c:ptCount val="1"/>
                <c:pt idx="0">
                  <c:v>Total</c:v>
                </c:pt>
              </c:strCache>
            </c:strRef>
          </c:tx>
          <c:spPr>
            <a:ln w="28575" cap="rnd">
              <a:solidFill>
                <a:schemeClr val="accent1"/>
              </a:solidFill>
              <a:round/>
            </a:ln>
            <a:effectLst/>
          </c:spPr>
          <c:marker>
            <c:symbol val="circle"/>
            <c:size val="5"/>
            <c:spPr>
              <a:solidFill>
                <a:schemeClr val="accent5">
                  <a:lumMod val="75000"/>
                </a:schemeClr>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10'!$A$4:$A$14</c:f>
              <c:strCache>
                <c:ptCount val="10"/>
                <c:pt idx="0">
                  <c:v>Akash</c:v>
                </c:pt>
                <c:pt idx="1">
                  <c:v>Amit</c:v>
                </c:pt>
                <c:pt idx="2">
                  <c:v>Meena</c:v>
                </c:pt>
                <c:pt idx="3">
                  <c:v>Pooja</c:v>
                </c:pt>
                <c:pt idx="4">
                  <c:v>Rahul</c:v>
                </c:pt>
                <c:pt idx="5">
                  <c:v>Rohit</c:v>
                </c:pt>
                <c:pt idx="6">
                  <c:v>Sagar</c:v>
                </c:pt>
                <c:pt idx="7">
                  <c:v>Shweta</c:v>
                </c:pt>
                <c:pt idx="8">
                  <c:v>Sneha</c:v>
                </c:pt>
                <c:pt idx="9">
                  <c:v>Sonali</c:v>
                </c:pt>
              </c:strCache>
            </c:strRef>
          </c:cat>
          <c:val>
            <c:numRef>
              <c:f>'Top 10'!$B$4:$B$14</c:f>
              <c:numCache>
                <c:formatCode>General</c:formatCode>
                <c:ptCount val="10"/>
                <c:pt idx="0">
                  <c:v>500</c:v>
                </c:pt>
                <c:pt idx="1">
                  <c:v>500</c:v>
                </c:pt>
                <c:pt idx="2">
                  <c:v>500</c:v>
                </c:pt>
                <c:pt idx="3">
                  <c:v>750</c:v>
                </c:pt>
                <c:pt idx="4">
                  <c:v>540</c:v>
                </c:pt>
                <c:pt idx="5">
                  <c:v>360</c:v>
                </c:pt>
                <c:pt idx="6">
                  <c:v>480</c:v>
                </c:pt>
                <c:pt idx="7">
                  <c:v>360</c:v>
                </c:pt>
                <c:pt idx="8">
                  <c:v>270</c:v>
                </c:pt>
                <c:pt idx="9">
                  <c:v>1000</c:v>
                </c:pt>
              </c:numCache>
            </c:numRef>
          </c:val>
          <c:smooth val="0"/>
          <c:extLst>
            <c:ext xmlns:c16="http://schemas.microsoft.com/office/drawing/2014/chart" uri="{C3380CC4-5D6E-409C-BE32-E72D297353CC}">
              <c16:uniqueId val="{00000000-47D5-4496-8AAE-173F79F01E93}"/>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216556480"/>
        <c:axId val="499336144"/>
      </c:lineChart>
      <c:catAx>
        <c:axId val="216556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99336144"/>
        <c:crosses val="autoZero"/>
        <c:auto val="1"/>
        <c:lblAlgn val="ctr"/>
        <c:lblOffset val="100"/>
        <c:noMultiLvlLbl val="0"/>
      </c:catAx>
      <c:valAx>
        <c:axId val="4993361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65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5"/>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 sales performance dashboard 1.xlsx]Total Amount VS Age Group!PivotTable4</c:name>
    <c:fmtId val="2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Total Amount VS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'Total Amount VS Age Group'!$B$3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65-4272-A951-6153CC2B71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65-4272-A951-6153CC2B71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65-4272-A951-6153CC2B71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65-4272-A951-6153CC2B71F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Amount VS Age Group'!$A$4:$A$8</c:f>
              <c:strCache>
                <c:ptCount val="4"/>
                <c:pt idx="0">
                  <c:v>Adult</c:v>
                </c:pt>
                <c:pt idx="1">
                  <c:v>Junior</c:v>
                </c:pt>
                <c:pt idx="2">
                  <c:v>Senior</c:v>
                </c:pt>
                <c:pt idx="3">
                  <c:v>(blank)</c:v>
                </c:pt>
              </c:strCache>
            </c:strRef>
          </c:cat>
          <c:val>
            <c:numRef>
              <c:f>'Total Amount VS Age Group'!$B$4:$B$8</c:f>
              <c:numCache>
                <c:formatCode>General</c:formatCode>
                <c:ptCount val="4"/>
                <c:pt idx="0">
                  <c:v>2330</c:v>
                </c:pt>
                <c:pt idx="1">
                  <c:v>4590</c:v>
                </c:pt>
                <c:pt idx="2">
                  <c:v>250</c:v>
                </c:pt>
              </c:numCache>
            </c:numRef>
          </c:val>
          <c:extLst>
            <c:ext xmlns:c16="http://schemas.microsoft.com/office/drawing/2014/chart" uri="{C3380CC4-5D6E-409C-BE32-E72D297353CC}">
              <c16:uniqueId val="{00000008-0365-4272-A951-6153CC2B71F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297180</xdr:colOff>
      <xdr:row>6</xdr:row>
      <xdr:rowOff>41910</xdr:rowOff>
    </xdr:from>
    <xdr:to>
      <xdr:col>11</xdr:col>
      <xdr:colOff>601980</xdr:colOff>
      <xdr:row>21</xdr:row>
      <xdr:rowOff>41910</xdr:rowOff>
    </xdr:to>
    <xdr:graphicFrame macro="">
      <xdr:nvGraphicFramePr>
        <xdr:cNvPr id="2" name="Chart 1">
          <a:extLst>
            <a:ext uri="{FF2B5EF4-FFF2-40B4-BE49-F238E27FC236}">
              <a16:creationId xmlns:a16="http://schemas.microsoft.com/office/drawing/2014/main" id="{88C6953B-BE6B-C249-6490-7606ED220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297180</xdr:colOff>
      <xdr:row>4</xdr:row>
      <xdr:rowOff>137160</xdr:rowOff>
    </xdr:from>
    <xdr:to>
      <xdr:col>12</xdr:col>
      <xdr:colOff>205740</xdr:colOff>
      <xdr:row>21</xdr:row>
      <xdr:rowOff>41910</xdr:rowOff>
    </xdr:to>
    <xdr:graphicFrame macro="">
      <xdr:nvGraphicFramePr>
        <xdr:cNvPr id="2" name="Chart 1">
          <a:extLst>
            <a:ext uri="{FF2B5EF4-FFF2-40B4-BE49-F238E27FC236}">
              <a16:creationId xmlns:a16="http://schemas.microsoft.com/office/drawing/2014/main" id="{646D4094-D1F4-FF8F-B2ED-C9F9A85764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83820</xdr:colOff>
      <xdr:row>3</xdr:row>
      <xdr:rowOff>45720</xdr:rowOff>
    </xdr:from>
    <xdr:to>
      <xdr:col>13</xdr:col>
      <xdr:colOff>83820</xdr:colOff>
      <xdr:row>22</xdr:row>
      <xdr:rowOff>38100</xdr:rowOff>
    </xdr:to>
    <xdr:graphicFrame macro="">
      <xdr:nvGraphicFramePr>
        <xdr:cNvPr id="2" name="Chart 1">
          <a:extLst>
            <a:ext uri="{FF2B5EF4-FFF2-40B4-BE49-F238E27FC236}">
              <a16:creationId xmlns:a16="http://schemas.microsoft.com/office/drawing/2014/main" id="{E9513148-2535-2ECD-E350-AEA8E0923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106680</xdr:colOff>
      <xdr:row>6</xdr:row>
      <xdr:rowOff>41910</xdr:rowOff>
    </xdr:from>
    <xdr:to>
      <xdr:col>11</xdr:col>
      <xdr:colOff>411480</xdr:colOff>
      <xdr:row>21</xdr:row>
      <xdr:rowOff>41910</xdr:rowOff>
    </xdr:to>
    <xdr:graphicFrame macro="">
      <xdr:nvGraphicFramePr>
        <xdr:cNvPr id="2" name="Chart 1">
          <a:extLst>
            <a:ext uri="{FF2B5EF4-FFF2-40B4-BE49-F238E27FC236}">
              <a16:creationId xmlns:a16="http://schemas.microsoft.com/office/drawing/2014/main" id="{6B806935-0336-11A6-11FF-A68F1DAF2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297180</xdr:colOff>
      <xdr:row>5</xdr:row>
      <xdr:rowOff>7620</xdr:rowOff>
    </xdr:from>
    <xdr:to>
      <xdr:col>12</xdr:col>
      <xdr:colOff>289560</xdr:colOff>
      <xdr:row>23</xdr:row>
      <xdr:rowOff>7620</xdr:rowOff>
    </xdr:to>
    <xdr:graphicFrame macro="">
      <xdr:nvGraphicFramePr>
        <xdr:cNvPr id="2" name="Chart 1">
          <a:extLst>
            <a:ext uri="{FF2B5EF4-FFF2-40B4-BE49-F238E27FC236}">
              <a16:creationId xmlns:a16="http://schemas.microsoft.com/office/drawing/2014/main" id="{30273837-72E4-578D-BC2F-82106B8E7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137160</xdr:colOff>
      <xdr:row>6</xdr:row>
      <xdr:rowOff>41910</xdr:rowOff>
    </xdr:from>
    <xdr:to>
      <xdr:col>14</xdr:col>
      <xdr:colOff>441960</xdr:colOff>
      <xdr:row>21</xdr:row>
      <xdr:rowOff>41910</xdr:rowOff>
    </xdr:to>
    <xdr:graphicFrame macro="">
      <xdr:nvGraphicFramePr>
        <xdr:cNvPr id="2" name="Chart 1">
          <a:extLst>
            <a:ext uri="{FF2B5EF4-FFF2-40B4-BE49-F238E27FC236}">
              <a16:creationId xmlns:a16="http://schemas.microsoft.com/office/drawing/2014/main" id="{E8A7C21D-DBC0-3BDB-498A-45A36594E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198120</xdr:colOff>
      <xdr:row>1</xdr:row>
      <xdr:rowOff>144780</xdr:rowOff>
    </xdr:from>
    <xdr:to>
      <xdr:col>22</xdr:col>
      <xdr:colOff>280276</xdr:colOff>
      <xdr:row>5</xdr:row>
      <xdr:rowOff>91440</xdr:rowOff>
    </xdr:to>
    <xdr:sp macro="" textlink="">
      <xdr:nvSpPr>
        <xdr:cNvPr id="12" name="TextBox 11">
          <a:extLst>
            <a:ext uri="{FF2B5EF4-FFF2-40B4-BE49-F238E27FC236}">
              <a16:creationId xmlns:a16="http://schemas.microsoft.com/office/drawing/2014/main" id="{BA2C940C-3F6F-6149-A91B-2E4352D46E01}"/>
            </a:ext>
          </a:extLst>
        </xdr:cNvPr>
        <xdr:cNvSpPr txBox="1"/>
      </xdr:nvSpPr>
      <xdr:spPr>
        <a:xfrm>
          <a:off x="2037430" y="328711"/>
          <a:ext cx="11731122" cy="682384"/>
        </a:xfrm>
        <a:prstGeom prst="rect">
          <a:avLst/>
        </a:prstGeom>
        <a:no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algn="ctr"/>
          <a:r>
            <a:rPr lang="en-IN" sz="4000" b="1">
              <a:solidFill>
                <a:schemeClr val="tx1"/>
              </a:solidFill>
              <a:latin typeface="Aparajita" panose="02020603050405020304" pitchFamily="18" charset="0"/>
              <a:cs typeface="Aparajita" panose="02020603050405020304" pitchFamily="18" charset="0"/>
            </a:rPr>
            <a:t>    Food Sales Performance Dashboard</a:t>
          </a:r>
        </a:p>
      </xdr:txBody>
    </xdr:sp>
    <xdr:clientData/>
  </xdr:twoCellAnchor>
  <xdr:twoCellAnchor>
    <xdr:from>
      <xdr:col>2</xdr:col>
      <xdr:colOff>543035</xdr:colOff>
      <xdr:row>7</xdr:row>
      <xdr:rowOff>122621</xdr:rowOff>
    </xdr:from>
    <xdr:to>
      <xdr:col>7</xdr:col>
      <xdr:colOff>35036</xdr:colOff>
      <xdr:row>17</xdr:row>
      <xdr:rowOff>157655</xdr:rowOff>
    </xdr:to>
    <xdr:graphicFrame macro="">
      <xdr:nvGraphicFramePr>
        <xdr:cNvPr id="25" name="Chart 24">
          <a:extLst>
            <a:ext uri="{FF2B5EF4-FFF2-40B4-BE49-F238E27FC236}">
              <a16:creationId xmlns:a16="http://schemas.microsoft.com/office/drawing/2014/main" id="{0AF02C7F-799F-4A54-B472-D80C5B69B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122620</xdr:colOff>
      <xdr:row>18</xdr:row>
      <xdr:rowOff>105103</xdr:rowOff>
    </xdr:from>
    <xdr:to>
      <xdr:col>7</xdr:col>
      <xdr:colOff>604345</xdr:colOff>
      <xdr:row>31</xdr:row>
      <xdr:rowOff>175172</xdr:rowOff>
    </xdr:to>
    <xdr:graphicFrame macro="">
      <xdr:nvGraphicFramePr>
        <xdr:cNvPr id="28" name="Chart 27">
          <a:extLst>
            <a:ext uri="{FF2B5EF4-FFF2-40B4-BE49-F238E27FC236}">
              <a16:creationId xmlns:a16="http://schemas.microsoft.com/office/drawing/2014/main" id="{1F35003E-8BB7-4D53-8206-AD026384C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8757</xdr:colOff>
      <xdr:row>7</xdr:row>
      <xdr:rowOff>105103</xdr:rowOff>
    </xdr:from>
    <xdr:to>
      <xdr:col>17</xdr:col>
      <xdr:colOff>306552</xdr:colOff>
      <xdr:row>22</xdr:row>
      <xdr:rowOff>122621</xdr:rowOff>
    </xdr:to>
    <xdr:graphicFrame macro="">
      <xdr:nvGraphicFramePr>
        <xdr:cNvPr id="30" name="Chart 29">
          <a:extLst>
            <a:ext uri="{FF2B5EF4-FFF2-40B4-BE49-F238E27FC236}">
              <a16:creationId xmlns:a16="http://schemas.microsoft.com/office/drawing/2014/main" id="{93C6D249-8230-455D-9EAD-2DF67C250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148899</xdr:colOff>
      <xdr:row>18</xdr:row>
      <xdr:rowOff>148895</xdr:rowOff>
    </xdr:from>
    <xdr:to>
      <xdr:col>12</xdr:col>
      <xdr:colOff>472968</xdr:colOff>
      <xdr:row>31</xdr:row>
      <xdr:rowOff>78827</xdr:rowOff>
    </xdr:to>
    <xdr:graphicFrame macro="">
      <xdr:nvGraphicFramePr>
        <xdr:cNvPr id="31" name="Chart 30">
          <a:extLst>
            <a:ext uri="{FF2B5EF4-FFF2-40B4-BE49-F238E27FC236}">
              <a16:creationId xmlns:a16="http://schemas.microsoft.com/office/drawing/2014/main" id="{63107213-C4EE-4B7B-84E6-6F2FA9ED9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604345</xdr:colOff>
      <xdr:row>23</xdr:row>
      <xdr:rowOff>96345</xdr:rowOff>
    </xdr:from>
    <xdr:to>
      <xdr:col>19</xdr:col>
      <xdr:colOff>604345</xdr:colOff>
      <xdr:row>34</xdr:row>
      <xdr:rowOff>26276</xdr:rowOff>
    </xdr:to>
    <xdr:graphicFrame macro="">
      <xdr:nvGraphicFramePr>
        <xdr:cNvPr id="32" name="Chart 31">
          <a:extLst>
            <a:ext uri="{FF2B5EF4-FFF2-40B4-BE49-F238E27FC236}">
              <a16:creationId xmlns:a16="http://schemas.microsoft.com/office/drawing/2014/main" id="{AA5B9FA8-9C7E-4334-9349-9AD9ADD48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197156</xdr:colOff>
      <xdr:row>15</xdr:row>
      <xdr:rowOff>16465</xdr:rowOff>
    </xdr:from>
    <xdr:to>
      <xdr:col>23</xdr:col>
      <xdr:colOff>186646</xdr:colOff>
      <xdr:row>29</xdr:row>
      <xdr:rowOff>22706</xdr:rowOff>
    </xdr:to>
    <mc:AlternateContent xmlns:mc="http://schemas.openxmlformats.org/markup-compatibility/2006" xmlns:a14="http://schemas.microsoft.com/office/drawing/2010/main">
      <mc:Choice Requires="a14">
        <xdr:graphicFrame macro="">
          <xdr:nvGraphicFramePr>
            <xdr:cNvPr id="33" name="Month">
              <a:extLst>
                <a:ext uri="{FF2B5EF4-FFF2-40B4-BE49-F238E27FC236}">
                  <a16:creationId xmlns:a16="http://schemas.microsoft.com/office/drawing/2014/main" id="{5FE3D0A6-20D2-4C98-0383-E88F2471B0E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459225" y="2775431"/>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414457</xdr:colOff>
      <xdr:row>7</xdr:row>
      <xdr:rowOff>93630</xdr:rowOff>
    </xdr:from>
    <xdr:to>
      <xdr:col>20</xdr:col>
      <xdr:colOff>140138</xdr:colOff>
      <xdr:row>13</xdr:row>
      <xdr:rowOff>96344</xdr:rowOff>
    </xdr:to>
    <mc:AlternateContent xmlns:mc="http://schemas.openxmlformats.org/markup-compatibility/2006" xmlns:a14="http://schemas.microsoft.com/office/drawing/2010/main">
      <mc:Choice Requires="a14">
        <xdr:graphicFrame macro="">
          <xdr:nvGraphicFramePr>
            <xdr:cNvPr id="34" name="Gender">
              <a:extLst>
                <a:ext uri="{FF2B5EF4-FFF2-40B4-BE49-F238E27FC236}">
                  <a16:creationId xmlns:a16="http://schemas.microsoft.com/office/drawing/2014/main" id="{BDF0668E-1619-761D-C29D-69E22FEA3C9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837216" y="1381147"/>
              <a:ext cx="1564991" cy="110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412793</xdr:colOff>
      <xdr:row>13</xdr:row>
      <xdr:rowOff>170795</xdr:rowOff>
    </xdr:from>
    <xdr:to>
      <xdr:col>20</xdr:col>
      <xdr:colOff>157656</xdr:colOff>
      <xdr:row>20</xdr:row>
      <xdr:rowOff>157654</xdr:rowOff>
    </xdr:to>
    <mc:AlternateContent xmlns:mc="http://schemas.openxmlformats.org/markup-compatibility/2006" xmlns:a14="http://schemas.microsoft.com/office/drawing/2010/main">
      <mc:Choice Requires="a14">
        <xdr:graphicFrame macro="">
          <xdr:nvGraphicFramePr>
            <xdr:cNvPr id="35" name="Age Group">
              <a:extLst>
                <a:ext uri="{FF2B5EF4-FFF2-40B4-BE49-F238E27FC236}">
                  <a16:creationId xmlns:a16="http://schemas.microsoft.com/office/drawing/2014/main" id="{658DC9F7-1606-A3F1-9951-0C3ED3693733}"/>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0835552" y="2561898"/>
              <a:ext cx="1584173" cy="1274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218440</xdr:colOff>
      <xdr:row>6</xdr:row>
      <xdr:rowOff>134097</xdr:rowOff>
    </xdr:from>
    <xdr:to>
      <xdr:col>23</xdr:col>
      <xdr:colOff>207930</xdr:colOff>
      <xdr:row>14</xdr:row>
      <xdr:rowOff>52555</xdr:rowOff>
    </xdr:to>
    <mc:AlternateContent xmlns:mc="http://schemas.openxmlformats.org/markup-compatibility/2006" xmlns:a14="http://schemas.microsoft.com/office/drawing/2010/main">
      <mc:Choice Requires="a14">
        <xdr:graphicFrame macro="">
          <xdr:nvGraphicFramePr>
            <xdr:cNvPr id="36" name="Food Item">
              <a:extLst>
                <a:ext uri="{FF2B5EF4-FFF2-40B4-BE49-F238E27FC236}">
                  <a16:creationId xmlns:a16="http://schemas.microsoft.com/office/drawing/2014/main" id="{7ECAFE0C-86EB-0979-97D8-851F2986466C}"/>
                </a:ext>
              </a:extLst>
            </xdr:cNvPr>
            <xdr:cNvGraphicFramePr/>
          </xdr:nvGraphicFramePr>
          <xdr:xfrm>
            <a:off x="0" y="0"/>
            <a:ext cx="0" cy="0"/>
          </xdr:xfrm>
          <a:graphic>
            <a:graphicData uri="http://schemas.microsoft.com/office/drawing/2010/slicer">
              <sle:slicer xmlns:sle="http://schemas.microsoft.com/office/drawing/2010/slicer" name="Food Item"/>
            </a:graphicData>
          </a:graphic>
        </xdr:graphicFrame>
      </mc:Choice>
      <mc:Fallback xmlns="">
        <xdr:sp macro="" textlink="">
          <xdr:nvSpPr>
            <xdr:cNvPr id="0" name=""/>
            <xdr:cNvSpPr>
              <a:spLocks noTextEdit="1"/>
            </xdr:cNvSpPr>
          </xdr:nvSpPr>
          <xdr:spPr>
            <a:xfrm>
              <a:off x="12480509" y="1237683"/>
              <a:ext cx="1828800" cy="1389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131379</xdr:colOff>
      <xdr:row>7</xdr:row>
      <xdr:rowOff>70068</xdr:rowOff>
    </xdr:from>
    <xdr:to>
      <xdr:col>12</xdr:col>
      <xdr:colOff>429173</xdr:colOff>
      <xdr:row>17</xdr:row>
      <xdr:rowOff>183930</xdr:rowOff>
    </xdr:to>
    <xdr:graphicFrame macro="">
      <xdr:nvGraphicFramePr>
        <xdr:cNvPr id="2" name="Chart 1">
          <a:extLst>
            <a:ext uri="{FF2B5EF4-FFF2-40B4-BE49-F238E27FC236}">
              <a16:creationId xmlns:a16="http://schemas.microsoft.com/office/drawing/2014/main" id="{3C8B12A5-7225-414A-AEB4-933BFDF78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ali lohar" refreshedDate="46185.891968402779" createdVersion="8" refreshedVersion="8" minRefreshableVersion="3" recordCount="20" xr:uid="{B4B0F9BB-61FE-4BA4-92AB-B5BFCA556E0C}">
  <cacheSource type="worksheet">
    <worksheetSource ref="A3:K23" sheet="Data"/>
  </cacheSource>
  <cacheFields count="12">
    <cacheField name="Transaction Id" numFmtId="0">
      <sharedItems containsNonDate="0" containsString="0" containsBlank="1" count="1">
        <m/>
      </sharedItems>
    </cacheField>
    <cacheField name="Order ID" numFmtId="0">
      <sharedItems containsSemiMixedTypes="0" containsString="0" containsNumber="1" containsInteger="1" minValue="1001" maxValue="1020"/>
    </cacheField>
    <cacheField name="Date" numFmtId="14">
      <sharedItems containsSemiMixedTypes="0" containsNonDate="0" containsDate="1" containsString="0" minDate="2016-01-09T00:00:00" maxDate="2026-08-17T00:00:00"/>
    </cacheField>
    <cacheField name="Month" numFmtId="14">
      <sharedItems count="8">
        <s v="June"/>
        <s v="January"/>
        <s v="August"/>
        <s v="September"/>
        <s v="October"/>
        <s v="March"/>
        <s v="May"/>
        <s v="December"/>
      </sharedItems>
    </cacheField>
    <cacheField name="Customer" numFmtId="0">
      <sharedItems/>
    </cacheField>
    <cacheField name="Gender" numFmtId="0">
      <sharedItems count="2">
        <s v="Male"/>
        <s v="Female"/>
      </sharedItems>
    </cacheField>
    <cacheField name="Age Group" numFmtId="0">
      <sharedItems count="3">
        <s v="Junior"/>
        <s v="Adult"/>
        <s v="Senior"/>
      </sharedItems>
    </cacheField>
    <cacheField name="Age" numFmtId="0">
      <sharedItems containsSemiMixedTypes="0" containsString="0" containsNumber="1" containsInteger="1" minValue="20" maxValue="30" count="11">
        <n v="22"/>
        <n v="21"/>
        <n v="24"/>
        <n v="20"/>
        <n v="25"/>
        <n v="23"/>
        <n v="26"/>
        <n v="28"/>
        <n v="27"/>
        <n v="29"/>
        <n v="30"/>
      </sharedItems>
    </cacheField>
    <cacheField name="Food Item" numFmtId="0">
      <sharedItems count="4">
        <s v="Pizza"/>
        <s v="Burger"/>
        <s v="Biryani"/>
        <s v="Sandwich"/>
      </sharedItems>
    </cacheField>
    <cacheField name="Quantity" numFmtId="0">
      <sharedItems containsSemiMixedTypes="0" containsString="0" containsNumber="1" containsInteger="1" minValue="1" maxValue="4"/>
    </cacheField>
    <cacheField name="Price" numFmtId="0">
      <sharedItems containsSemiMixedTypes="0" containsString="0" containsNumber="1" containsInteger="1" minValue="90" maxValue="250"/>
    </cacheField>
    <cacheField name="Total" numFmtId="0">
      <sharedItems containsSemiMixedTypes="0" containsString="0" containsNumber="1" containsInteger="1" minValue="90" maxValue="1000" count="12">
        <n v="500"/>
        <n v="120"/>
        <n v="360"/>
        <n v="270"/>
        <n v="250"/>
        <n v="240"/>
        <n v="180"/>
        <n v="750"/>
        <n v="480"/>
        <n v="540"/>
        <n v="90"/>
        <n v="1000"/>
      </sharedItems>
    </cacheField>
  </cacheFields>
  <extLst>
    <ext xmlns:x14="http://schemas.microsoft.com/office/spreadsheetml/2009/9/main" uri="{725AE2AE-9491-48be-B2B4-4EB974FC3084}">
      <x14:pivotCacheDefinition pivotCacheId="12570146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ali lohar" refreshedDate="46189.553786805554" createdVersion="8" refreshedVersion="8" minRefreshableVersion="3" recordCount="36" xr:uid="{B8C4010A-EA43-4E0E-A166-98D21C17CBA8}">
  <cacheSource type="worksheet">
    <worksheetSource ref="A1:K1048576" sheet="Data"/>
  </cacheSource>
  <cacheFields count="12">
    <cacheField name="Transaction Id" numFmtId="0">
      <sharedItems containsNonDate="0" containsString="0" containsBlank="1"/>
    </cacheField>
    <cacheField name="Order ID" numFmtId="0">
      <sharedItems containsString="0" containsBlank="1" containsNumber="1" containsInteger="1" minValue="1001" maxValue="1020" count="21">
        <n v="1001"/>
        <n v="1002"/>
        <n v="1003"/>
        <n v="1004"/>
        <n v="1005"/>
        <n v="1006"/>
        <n v="1007"/>
        <n v="1008"/>
        <n v="1009"/>
        <n v="1010"/>
        <n v="1011"/>
        <n v="1012"/>
        <n v="1013"/>
        <n v="1014"/>
        <n v="1015"/>
        <n v="1016"/>
        <n v="1017"/>
        <n v="1018"/>
        <n v="1019"/>
        <n v="1020"/>
        <m/>
      </sharedItems>
    </cacheField>
    <cacheField name="Date" numFmtId="0">
      <sharedItems containsNonDate="0" containsDate="1" containsString="0" containsBlank="1" minDate="2016-01-09T00:00:00" maxDate="2026-08-17T00:00:00"/>
    </cacheField>
    <cacheField name="Month" numFmtId="0">
      <sharedItems containsBlank="1" count="9">
        <s v="June"/>
        <s v="January"/>
        <s v="August"/>
        <s v="September"/>
        <s v="October"/>
        <s v="March"/>
        <s v="May"/>
        <s v="December"/>
        <m/>
      </sharedItems>
    </cacheField>
    <cacheField name="Customer" numFmtId="0">
      <sharedItems containsBlank="1" count="21">
        <s v="Amit"/>
        <s v="Priya"/>
        <s v="Rohit"/>
        <s v="Sneha"/>
        <s v="Kiran"/>
        <s v="Neha"/>
        <s v="Ajay"/>
        <s v="Pooja"/>
        <s v="Ramesh"/>
        <s v="Sagar"/>
        <s v="Meena"/>
        <s v="Rahul"/>
        <s v="Komal"/>
        <s v="Akash"/>
        <s v="Nisha"/>
        <s v="Vikas"/>
        <s v="Sonali"/>
        <s v="Deepak"/>
        <s v="Shweta"/>
        <s v="Mahesh"/>
        <m/>
      </sharedItems>
    </cacheField>
    <cacheField name="Gender" numFmtId="0">
      <sharedItems containsBlank="1" count="3">
        <s v="Male"/>
        <s v="Female"/>
        <m/>
      </sharedItems>
    </cacheField>
    <cacheField name="Age Group" numFmtId="0">
      <sharedItems containsBlank="1" count="4">
        <s v="Junior"/>
        <s v="Adult"/>
        <s v="Senior"/>
        <m/>
      </sharedItems>
    </cacheField>
    <cacheField name="Age" numFmtId="0">
      <sharedItems containsString="0" containsBlank="1" containsNumber="1" containsInteger="1" minValue="20" maxValue="30"/>
    </cacheField>
    <cacheField name="Food Item" numFmtId="0">
      <sharedItems containsBlank="1" count="5">
        <s v="Pizza"/>
        <s v="Burger"/>
        <s v="Biryani"/>
        <s v="Sandwich"/>
        <m/>
      </sharedItems>
    </cacheField>
    <cacheField name="Quantity" numFmtId="0">
      <sharedItems containsString="0" containsBlank="1" containsNumber="1" containsInteger="1" minValue="1" maxValue="4"/>
    </cacheField>
    <cacheField name="Price" numFmtId="0">
      <sharedItems containsString="0" containsBlank="1" containsNumber="1" containsInteger="1" minValue="90" maxValue="250"/>
    </cacheField>
    <cacheField name="Total" numFmtId="0">
      <sharedItems containsString="0" containsBlank="1" containsNumber="1" containsInteger="1" minValue="90" maxValue="1000" count="13">
        <n v="500"/>
        <n v="120"/>
        <n v="360"/>
        <n v="270"/>
        <n v="250"/>
        <n v="240"/>
        <n v="180"/>
        <n v="750"/>
        <n v="480"/>
        <n v="540"/>
        <n v="90"/>
        <n v="1000"/>
        <m/>
      </sharedItems>
    </cacheField>
  </cacheFields>
  <extLst>
    <ext xmlns:x14="http://schemas.microsoft.com/office/spreadsheetml/2009/9/main" uri="{725AE2AE-9491-48be-B2B4-4EB974FC3084}">
      <x14:pivotCacheDefinition pivotCacheId="3721297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1001"/>
    <d v="2025-06-01T00:00:00"/>
    <x v="0"/>
    <s v="Amit"/>
    <x v="0"/>
    <x v="0"/>
    <x v="0"/>
    <x v="0"/>
    <n v="2"/>
    <n v="250"/>
    <x v="0"/>
  </r>
  <r>
    <x v="0"/>
    <n v="1002"/>
    <d v="2023-01-02T00:00:00"/>
    <x v="1"/>
    <s v="Priya"/>
    <x v="1"/>
    <x v="0"/>
    <x v="1"/>
    <x v="1"/>
    <n v="1"/>
    <n v="120"/>
    <x v="1"/>
  </r>
  <r>
    <x v="0"/>
    <n v="1003"/>
    <d v="2024-08-03T00:00:00"/>
    <x v="2"/>
    <s v="Rohit"/>
    <x v="0"/>
    <x v="0"/>
    <x v="2"/>
    <x v="2"/>
    <n v="2"/>
    <n v="180"/>
    <x v="2"/>
  </r>
  <r>
    <x v="0"/>
    <n v="1004"/>
    <d v="2024-09-04T00:00:00"/>
    <x v="3"/>
    <s v="Sneha"/>
    <x v="1"/>
    <x v="0"/>
    <x v="3"/>
    <x v="3"/>
    <n v="3"/>
    <n v="90"/>
    <x v="3"/>
  </r>
  <r>
    <x v="0"/>
    <n v="1005"/>
    <d v="2022-10-05T00:00:00"/>
    <x v="4"/>
    <s v="Kiran"/>
    <x v="0"/>
    <x v="1"/>
    <x v="4"/>
    <x v="0"/>
    <n v="1"/>
    <n v="250"/>
    <x v="4"/>
  </r>
  <r>
    <x v="0"/>
    <n v="1006"/>
    <d v="2026-01-06T00:00:00"/>
    <x v="1"/>
    <s v="Neha"/>
    <x v="1"/>
    <x v="0"/>
    <x v="5"/>
    <x v="1"/>
    <n v="2"/>
    <n v="120"/>
    <x v="5"/>
  </r>
  <r>
    <x v="0"/>
    <n v="1007"/>
    <d v="2026-06-06T00:00:00"/>
    <x v="0"/>
    <s v="Ajay"/>
    <x v="0"/>
    <x v="1"/>
    <x v="6"/>
    <x v="2"/>
    <n v="1"/>
    <n v="180"/>
    <x v="6"/>
  </r>
  <r>
    <x v="0"/>
    <n v="1008"/>
    <d v="2016-08-08T00:00:00"/>
    <x v="2"/>
    <s v="Pooja"/>
    <x v="1"/>
    <x v="0"/>
    <x v="0"/>
    <x v="0"/>
    <n v="3"/>
    <n v="250"/>
    <x v="7"/>
  </r>
  <r>
    <x v="0"/>
    <n v="1009"/>
    <d v="2016-01-09T00:00:00"/>
    <x v="1"/>
    <s v="Ramesh"/>
    <x v="0"/>
    <x v="1"/>
    <x v="7"/>
    <x v="3"/>
    <n v="2"/>
    <n v="90"/>
    <x v="6"/>
  </r>
  <r>
    <x v="0"/>
    <n v="1010"/>
    <d v="2026-01-10T00:00:00"/>
    <x v="1"/>
    <s v="Sagar"/>
    <x v="0"/>
    <x v="0"/>
    <x v="1"/>
    <x v="1"/>
    <n v="4"/>
    <n v="120"/>
    <x v="8"/>
  </r>
  <r>
    <x v="0"/>
    <n v="1011"/>
    <d v="2026-03-11T00:00:00"/>
    <x v="5"/>
    <s v="Meena"/>
    <x v="1"/>
    <x v="0"/>
    <x v="2"/>
    <x v="0"/>
    <n v="2"/>
    <n v="250"/>
    <x v="0"/>
  </r>
  <r>
    <x v="0"/>
    <n v="1012"/>
    <d v="2026-03-12T00:00:00"/>
    <x v="5"/>
    <s v="Rahul"/>
    <x v="0"/>
    <x v="1"/>
    <x v="8"/>
    <x v="2"/>
    <n v="3"/>
    <n v="180"/>
    <x v="9"/>
  </r>
  <r>
    <x v="0"/>
    <n v="1013"/>
    <d v="2026-05-13T00:00:00"/>
    <x v="6"/>
    <s v="Komal"/>
    <x v="1"/>
    <x v="0"/>
    <x v="3"/>
    <x v="3"/>
    <n v="1"/>
    <n v="90"/>
    <x v="10"/>
  </r>
  <r>
    <x v="0"/>
    <n v="1014"/>
    <d v="2026-06-14T00:00:00"/>
    <x v="0"/>
    <s v="Akash"/>
    <x v="0"/>
    <x v="0"/>
    <x v="5"/>
    <x v="0"/>
    <n v="2"/>
    <n v="250"/>
    <x v="0"/>
  </r>
  <r>
    <x v="0"/>
    <n v="1015"/>
    <d v="2023-01-15T00:00:00"/>
    <x v="1"/>
    <s v="Nisha"/>
    <x v="1"/>
    <x v="0"/>
    <x v="0"/>
    <x v="1"/>
    <n v="2"/>
    <n v="120"/>
    <x v="5"/>
  </r>
  <r>
    <x v="0"/>
    <n v="1016"/>
    <d v="2026-08-16T00:00:00"/>
    <x v="2"/>
    <s v="Vikas"/>
    <x v="0"/>
    <x v="1"/>
    <x v="9"/>
    <x v="2"/>
    <n v="1"/>
    <n v="180"/>
    <x v="6"/>
  </r>
  <r>
    <x v="0"/>
    <n v="1017"/>
    <d v="2026-01-17T00:00:00"/>
    <x v="1"/>
    <s v="Sonali"/>
    <x v="1"/>
    <x v="1"/>
    <x v="4"/>
    <x v="0"/>
    <n v="4"/>
    <n v="250"/>
    <x v="11"/>
  </r>
  <r>
    <x v="0"/>
    <n v="1018"/>
    <d v="2026-01-18T00:00:00"/>
    <x v="1"/>
    <s v="Deepak"/>
    <x v="0"/>
    <x v="0"/>
    <x v="2"/>
    <x v="3"/>
    <n v="2"/>
    <n v="90"/>
    <x v="6"/>
  </r>
  <r>
    <x v="0"/>
    <n v="1019"/>
    <d v="2022-12-19T00:00:00"/>
    <x v="7"/>
    <s v="Shweta"/>
    <x v="1"/>
    <x v="0"/>
    <x v="1"/>
    <x v="1"/>
    <n v="3"/>
    <n v="120"/>
    <x v="2"/>
  </r>
  <r>
    <x v="0"/>
    <n v="1020"/>
    <d v="2026-01-20T00:00:00"/>
    <x v="1"/>
    <s v="Mahesh"/>
    <x v="0"/>
    <x v="2"/>
    <x v="10"/>
    <x v="0"/>
    <n v="1"/>
    <n v="250"/>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m/>
    <x v="0"/>
    <d v="2025-06-01T00:00:00"/>
    <x v="0"/>
    <x v="0"/>
    <x v="0"/>
    <x v="0"/>
    <n v="22"/>
    <x v="0"/>
    <n v="2"/>
    <n v="250"/>
    <x v="0"/>
  </r>
  <r>
    <m/>
    <x v="1"/>
    <d v="2023-01-02T00:00:00"/>
    <x v="1"/>
    <x v="1"/>
    <x v="1"/>
    <x v="0"/>
    <n v="21"/>
    <x v="1"/>
    <n v="1"/>
    <n v="120"/>
    <x v="1"/>
  </r>
  <r>
    <m/>
    <x v="2"/>
    <d v="2024-08-03T00:00:00"/>
    <x v="2"/>
    <x v="2"/>
    <x v="0"/>
    <x v="0"/>
    <n v="24"/>
    <x v="2"/>
    <n v="2"/>
    <n v="180"/>
    <x v="2"/>
  </r>
  <r>
    <m/>
    <x v="3"/>
    <d v="2024-09-04T00:00:00"/>
    <x v="3"/>
    <x v="3"/>
    <x v="1"/>
    <x v="0"/>
    <n v="20"/>
    <x v="3"/>
    <n v="3"/>
    <n v="90"/>
    <x v="3"/>
  </r>
  <r>
    <m/>
    <x v="4"/>
    <d v="2022-10-05T00:00:00"/>
    <x v="4"/>
    <x v="4"/>
    <x v="0"/>
    <x v="1"/>
    <n v="25"/>
    <x v="0"/>
    <n v="1"/>
    <n v="250"/>
    <x v="4"/>
  </r>
  <r>
    <m/>
    <x v="5"/>
    <d v="2026-01-06T00:00:00"/>
    <x v="1"/>
    <x v="5"/>
    <x v="1"/>
    <x v="0"/>
    <n v="23"/>
    <x v="1"/>
    <n v="2"/>
    <n v="120"/>
    <x v="5"/>
  </r>
  <r>
    <m/>
    <x v="6"/>
    <d v="2026-06-06T00:00:00"/>
    <x v="0"/>
    <x v="6"/>
    <x v="0"/>
    <x v="1"/>
    <n v="26"/>
    <x v="2"/>
    <n v="1"/>
    <n v="180"/>
    <x v="6"/>
  </r>
  <r>
    <m/>
    <x v="7"/>
    <d v="2016-08-08T00:00:00"/>
    <x v="2"/>
    <x v="7"/>
    <x v="1"/>
    <x v="0"/>
    <n v="22"/>
    <x v="0"/>
    <n v="3"/>
    <n v="250"/>
    <x v="7"/>
  </r>
  <r>
    <m/>
    <x v="8"/>
    <d v="2016-01-09T00:00:00"/>
    <x v="1"/>
    <x v="8"/>
    <x v="0"/>
    <x v="1"/>
    <n v="28"/>
    <x v="3"/>
    <n v="2"/>
    <n v="90"/>
    <x v="6"/>
  </r>
  <r>
    <m/>
    <x v="9"/>
    <d v="2026-01-10T00:00:00"/>
    <x v="1"/>
    <x v="9"/>
    <x v="0"/>
    <x v="0"/>
    <n v="21"/>
    <x v="1"/>
    <n v="4"/>
    <n v="120"/>
    <x v="8"/>
  </r>
  <r>
    <m/>
    <x v="10"/>
    <d v="2026-03-11T00:00:00"/>
    <x v="5"/>
    <x v="10"/>
    <x v="1"/>
    <x v="0"/>
    <n v="24"/>
    <x v="0"/>
    <n v="2"/>
    <n v="250"/>
    <x v="0"/>
  </r>
  <r>
    <m/>
    <x v="11"/>
    <d v="2026-03-12T00:00:00"/>
    <x v="5"/>
    <x v="11"/>
    <x v="0"/>
    <x v="1"/>
    <n v="27"/>
    <x v="2"/>
    <n v="3"/>
    <n v="180"/>
    <x v="9"/>
  </r>
  <r>
    <m/>
    <x v="12"/>
    <d v="2026-05-13T00:00:00"/>
    <x v="6"/>
    <x v="12"/>
    <x v="1"/>
    <x v="0"/>
    <n v="20"/>
    <x v="3"/>
    <n v="1"/>
    <n v="90"/>
    <x v="10"/>
  </r>
  <r>
    <m/>
    <x v="13"/>
    <d v="2026-06-14T00:00:00"/>
    <x v="0"/>
    <x v="13"/>
    <x v="0"/>
    <x v="0"/>
    <n v="23"/>
    <x v="0"/>
    <n v="2"/>
    <n v="250"/>
    <x v="0"/>
  </r>
  <r>
    <m/>
    <x v="14"/>
    <d v="2023-01-15T00:00:00"/>
    <x v="1"/>
    <x v="14"/>
    <x v="1"/>
    <x v="0"/>
    <n v="22"/>
    <x v="1"/>
    <n v="2"/>
    <n v="120"/>
    <x v="5"/>
  </r>
  <r>
    <m/>
    <x v="15"/>
    <d v="2026-08-16T00:00:00"/>
    <x v="2"/>
    <x v="15"/>
    <x v="0"/>
    <x v="1"/>
    <n v="29"/>
    <x v="2"/>
    <n v="1"/>
    <n v="180"/>
    <x v="6"/>
  </r>
  <r>
    <m/>
    <x v="16"/>
    <d v="2026-01-17T00:00:00"/>
    <x v="1"/>
    <x v="16"/>
    <x v="1"/>
    <x v="1"/>
    <n v="25"/>
    <x v="0"/>
    <n v="4"/>
    <n v="250"/>
    <x v="11"/>
  </r>
  <r>
    <m/>
    <x v="17"/>
    <d v="2026-01-18T00:00:00"/>
    <x v="1"/>
    <x v="17"/>
    <x v="0"/>
    <x v="0"/>
    <n v="24"/>
    <x v="3"/>
    <n v="2"/>
    <n v="90"/>
    <x v="6"/>
  </r>
  <r>
    <m/>
    <x v="18"/>
    <d v="2022-12-19T00:00:00"/>
    <x v="7"/>
    <x v="18"/>
    <x v="1"/>
    <x v="0"/>
    <n v="21"/>
    <x v="1"/>
    <n v="3"/>
    <n v="120"/>
    <x v="2"/>
  </r>
  <r>
    <m/>
    <x v="19"/>
    <d v="2026-01-20T00:00:00"/>
    <x v="1"/>
    <x v="19"/>
    <x v="0"/>
    <x v="2"/>
    <n v="30"/>
    <x v="0"/>
    <n v="1"/>
    <n v="250"/>
    <x v="4"/>
  </r>
  <r>
    <m/>
    <x v="20"/>
    <m/>
    <x v="8"/>
    <x v="20"/>
    <x v="2"/>
    <x v="3"/>
    <m/>
    <x v="4"/>
    <m/>
    <m/>
    <x v="12"/>
  </r>
  <r>
    <m/>
    <x v="20"/>
    <m/>
    <x v="8"/>
    <x v="20"/>
    <x v="2"/>
    <x v="3"/>
    <m/>
    <x v="4"/>
    <m/>
    <m/>
    <x v="12"/>
  </r>
  <r>
    <m/>
    <x v="20"/>
    <m/>
    <x v="8"/>
    <x v="20"/>
    <x v="2"/>
    <x v="3"/>
    <m/>
    <x v="4"/>
    <m/>
    <m/>
    <x v="12"/>
  </r>
  <r>
    <m/>
    <x v="20"/>
    <m/>
    <x v="8"/>
    <x v="20"/>
    <x v="2"/>
    <x v="3"/>
    <m/>
    <x v="4"/>
    <m/>
    <m/>
    <x v="12"/>
  </r>
  <r>
    <m/>
    <x v="20"/>
    <m/>
    <x v="8"/>
    <x v="20"/>
    <x v="2"/>
    <x v="3"/>
    <m/>
    <x v="4"/>
    <m/>
    <m/>
    <x v="12"/>
  </r>
  <r>
    <m/>
    <x v="20"/>
    <m/>
    <x v="8"/>
    <x v="20"/>
    <x v="2"/>
    <x v="3"/>
    <m/>
    <x v="4"/>
    <m/>
    <m/>
    <x v="12"/>
  </r>
  <r>
    <m/>
    <x v="20"/>
    <m/>
    <x v="8"/>
    <x v="20"/>
    <x v="2"/>
    <x v="3"/>
    <m/>
    <x v="4"/>
    <m/>
    <m/>
    <x v="12"/>
  </r>
  <r>
    <m/>
    <x v="20"/>
    <m/>
    <x v="8"/>
    <x v="20"/>
    <x v="2"/>
    <x v="3"/>
    <m/>
    <x v="4"/>
    <m/>
    <m/>
    <x v="12"/>
  </r>
  <r>
    <m/>
    <x v="20"/>
    <m/>
    <x v="8"/>
    <x v="20"/>
    <x v="2"/>
    <x v="3"/>
    <m/>
    <x v="4"/>
    <m/>
    <m/>
    <x v="12"/>
  </r>
  <r>
    <m/>
    <x v="20"/>
    <m/>
    <x v="8"/>
    <x v="20"/>
    <x v="2"/>
    <x v="3"/>
    <m/>
    <x v="4"/>
    <m/>
    <m/>
    <x v="12"/>
  </r>
  <r>
    <m/>
    <x v="20"/>
    <m/>
    <x v="8"/>
    <x v="20"/>
    <x v="2"/>
    <x v="3"/>
    <m/>
    <x v="4"/>
    <m/>
    <m/>
    <x v="12"/>
  </r>
  <r>
    <m/>
    <x v="20"/>
    <m/>
    <x v="8"/>
    <x v="20"/>
    <x v="2"/>
    <x v="3"/>
    <m/>
    <x v="4"/>
    <m/>
    <m/>
    <x v="12"/>
  </r>
  <r>
    <m/>
    <x v="20"/>
    <m/>
    <x v="8"/>
    <x v="20"/>
    <x v="2"/>
    <x v="3"/>
    <m/>
    <x v="4"/>
    <m/>
    <m/>
    <x v="12"/>
  </r>
  <r>
    <m/>
    <x v="20"/>
    <m/>
    <x v="8"/>
    <x v="20"/>
    <x v="2"/>
    <x v="3"/>
    <m/>
    <x v="4"/>
    <m/>
    <m/>
    <x v="12"/>
  </r>
  <r>
    <m/>
    <x v="20"/>
    <m/>
    <x v="8"/>
    <x v="20"/>
    <x v="2"/>
    <x v="3"/>
    <m/>
    <x v="4"/>
    <m/>
    <m/>
    <x v="12"/>
  </r>
  <r>
    <m/>
    <x v="20"/>
    <m/>
    <x v="8"/>
    <x v="20"/>
    <x v="2"/>
    <x v="3"/>
    <m/>
    <x v="4"/>
    <m/>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DB9CD9-D99F-45D7-A6C3-821B33EF42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B6" firstHeaderRow="1" firstDataRow="1" firstDataCol="1"/>
  <pivotFields count="12">
    <pivotField showAll="0"/>
    <pivotField showAll="0"/>
    <pivotField numFmtId="14" showAll="0"/>
    <pivotField showAll="0">
      <items count="9">
        <item h="1" x="1"/>
        <item h="1" x="5"/>
        <item x="6"/>
        <item h="1" x="0"/>
        <item h="1" x="2"/>
        <item h="1" x="3"/>
        <item h="1" x="4"/>
        <item h="1" x="7"/>
        <item t="default"/>
      </items>
    </pivotField>
    <pivotField showAll="0"/>
    <pivotField axis="axisRow" showAll="0">
      <items count="3">
        <item x="1"/>
        <item x="0"/>
        <item t="default"/>
      </items>
    </pivotField>
    <pivotField showAll="0">
      <items count="4">
        <item h="1" x="1"/>
        <item x="0"/>
        <item h="1" x="2"/>
        <item t="default"/>
      </items>
    </pivotField>
    <pivotField showAll="0">
      <items count="12">
        <item h="1" x="3"/>
        <item x="1"/>
        <item h="1" x="0"/>
        <item h="1" x="5"/>
        <item h="1" x="2"/>
        <item h="1" x="4"/>
        <item h="1" x="6"/>
        <item h="1" x="8"/>
        <item h="1" x="7"/>
        <item h="1" x="9"/>
        <item h="1" x="10"/>
        <item t="default"/>
      </items>
    </pivotField>
    <pivotField showAll="0">
      <items count="5">
        <item x="2"/>
        <item h="1" x="1"/>
        <item h="1" x="0"/>
        <item h="1" x="3"/>
        <item t="default"/>
      </items>
    </pivotField>
    <pivotField showAll="0"/>
    <pivotField showAll="0"/>
    <pivotField dataField="1" showAll="0"/>
  </pivotFields>
  <rowFields count="1">
    <field x="5"/>
  </rowFields>
  <rowItems count="3">
    <i>
      <x/>
    </i>
    <i>
      <x v="1"/>
    </i>
    <i t="grand">
      <x/>
    </i>
  </rowItems>
  <colItems count="1">
    <i/>
  </colItems>
  <dataFields count="1">
    <dataField name="Sum of Total" fld="11" baseField="0" baseItem="0"/>
  </dataFields>
  <chartFormats count="7">
    <chartFormat chart="0" format="8" series="1">
      <pivotArea type="data" outline="0" fieldPosition="0">
        <references count="1">
          <reference field="4294967294" count="1" selected="0">
            <x v="0"/>
          </reference>
        </references>
      </pivotArea>
    </chartFormat>
    <chartFormat chart="0" format="9">
      <pivotArea type="data" outline="0" fieldPosition="0">
        <references count="2">
          <reference field="4294967294" count="1" selected="0">
            <x v="0"/>
          </reference>
          <reference field="5" count="1" selected="0">
            <x v="1"/>
          </reference>
        </references>
      </pivotArea>
    </chartFormat>
    <chartFormat chart="34" format="12" series="1">
      <pivotArea type="data" outline="0" fieldPosition="0">
        <references count="1">
          <reference field="4294967294" count="1" selected="0">
            <x v="0"/>
          </reference>
        </references>
      </pivotArea>
    </chartFormat>
    <chartFormat chart="34" format="13">
      <pivotArea type="data" outline="0" fieldPosition="0">
        <references count="2">
          <reference field="4294967294" count="1" selected="0">
            <x v="0"/>
          </reference>
          <reference field="5" count="1" selected="0">
            <x v="1"/>
          </reference>
        </references>
      </pivotArea>
    </chartFormat>
    <chartFormat chart="37" format="12" series="1">
      <pivotArea type="data" outline="0" fieldPosition="0">
        <references count="1">
          <reference field="4294967294" count="1" selected="0">
            <x v="0"/>
          </reference>
        </references>
      </pivotArea>
    </chartFormat>
    <chartFormat chart="37" format="13">
      <pivotArea type="data" outline="0" fieldPosition="0">
        <references count="2">
          <reference field="4294967294" count="1" selected="0">
            <x v="0"/>
          </reference>
          <reference field="5" count="1" selected="0">
            <x v="1"/>
          </reference>
        </references>
      </pivotArea>
    </chartFormat>
    <chartFormat chart="37" format="14">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18CF45-F29C-4401-A4AE-DCCBF09D10B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3" firstHeaderRow="1" firstDataRow="1" firstDataCol="1"/>
  <pivotFields count="12">
    <pivotField showAll="0"/>
    <pivotField showAll="0"/>
    <pivotField showAll="0"/>
    <pivotField axis="axisRow" showAll="0">
      <items count="10">
        <item x="1"/>
        <item x="5"/>
        <item x="6"/>
        <item x="0"/>
        <item x="2"/>
        <item x="3"/>
        <item x="4"/>
        <item x="7"/>
        <item x="8"/>
        <item t="default"/>
      </items>
    </pivotField>
    <pivotField showAll="0"/>
    <pivotField showAll="0">
      <items count="4">
        <item x="1"/>
        <item x="0"/>
        <item x="2"/>
        <item t="default"/>
      </items>
    </pivotField>
    <pivotField showAll="0">
      <items count="5">
        <item x="1"/>
        <item x="0"/>
        <item x="2"/>
        <item x="3"/>
        <item t="default"/>
      </items>
    </pivotField>
    <pivotField showAll="0"/>
    <pivotField showAll="0">
      <items count="6">
        <item x="2"/>
        <item x="1"/>
        <item x="0"/>
        <item x="3"/>
        <item x="4"/>
        <item t="default"/>
      </items>
    </pivotField>
    <pivotField showAll="0"/>
    <pivotField showAll="0"/>
    <pivotField dataField="1" showAll="0"/>
  </pivotFields>
  <rowFields count="1">
    <field x="3"/>
  </rowFields>
  <rowItems count="10">
    <i>
      <x/>
    </i>
    <i>
      <x v="1"/>
    </i>
    <i>
      <x v="2"/>
    </i>
    <i>
      <x v="3"/>
    </i>
    <i>
      <x v="4"/>
    </i>
    <i>
      <x v="5"/>
    </i>
    <i>
      <x v="6"/>
    </i>
    <i>
      <x v="7"/>
    </i>
    <i>
      <x v="8"/>
    </i>
    <i t="grand">
      <x/>
    </i>
  </rowItems>
  <colItems count="1">
    <i/>
  </colItems>
  <dataFields count="1">
    <dataField name="Sum of Total" fld="11" baseField="0" baseItem="0"/>
  </dataFields>
  <chartFormats count="11">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3" count="1" selected="0">
            <x v="1"/>
          </reference>
        </references>
      </pivotArea>
    </chartFormat>
    <chartFormat chart="16" format="4">
      <pivotArea type="data" outline="0" fieldPosition="0">
        <references count="2">
          <reference field="4294967294" count="1" selected="0">
            <x v="0"/>
          </reference>
          <reference field="3" count="1" selected="0">
            <x v="2"/>
          </reference>
        </references>
      </pivotArea>
    </chartFormat>
    <chartFormat chart="16" format="5">
      <pivotArea type="data" outline="0" fieldPosition="0">
        <references count="2">
          <reference field="4294967294" count="1" selected="0">
            <x v="0"/>
          </reference>
          <reference field="3" count="1" selected="0">
            <x v="3"/>
          </reference>
        </references>
      </pivotArea>
    </chartFormat>
    <chartFormat chart="16" format="6">
      <pivotArea type="data" outline="0" fieldPosition="0">
        <references count="2">
          <reference field="4294967294" count="1" selected="0">
            <x v="0"/>
          </reference>
          <reference field="3" count="1" selected="0">
            <x v="4"/>
          </reference>
        </references>
      </pivotArea>
    </chartFormat>
    <chartFormat chart="16" format="7">
      <pivotArea type="data" outline="0" fieldPosition="0">
        <references count="2">
          <reference field="4294967294" count="1" selected="0">
            <x v="0"/>
          </reference>
          <reference field="3" count="1" selected="0">
            <x v="5"/>
          </reference>
        </references>
      </pivotArea>
    </chartFormat>
    <chartFormat chart="16" format="8">
      <pivotArea type="data" outline="0" fieldPosition="0">
        <references count="2">
          <reference field="4294967294" count="1" selected="0">
            <x v="0"/>
          </reference>
          <reference field="3" count="1" selected="0">
            <x v="6"/>
          </reference>
        </references>
      </pivotArea>
    </chartFormat>
    <chartFormat chart="16" format="9">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3115B9-73A0-4A1D-B982-1BE74A811E1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7" firstHeaderRow="1" firstDataRow="1" firstDataCol="1"/>
  <pivotFields count="12">
    <pivotField showAll="0"/>
    <pivotField showAll="0"/>
    <pivotField showAll="0"/>
    <pivotField showAll="0">
      <items count="10">
        <item x="1"/>
        <item x="5"/>
        <item x="6"/>
        <item x="0"/>
        <item x="2"/>
        <item x="3"/>
        <item x="4"/>
        <item x="7"/>
        <item x="8"/>
        <item t="default"/>
      </items>
    </pivotField>
    <pivotField showAll="0"/>
    <pivotField axis="axisRow" showAll="0">
      <items count="4">
        <item x="1"/>
        <item x="0"/>
        <item x="2"/>
        <item t="default"/>
      </items>
    </pivotField>
    <pivotField showAll="0">
      <items count="5">
        <item x="1"/>
        <item x="0"/>
        <item x="2"/>
        <item x="3"/>
        <item t="default"/>
      </items>
    </pivotField>
    <pivotField showAll="0"/>
    <pivotField axis="axisRow" showAll="0">
      <items count="6">
        <item x="2"/>
        <item x="1"/>
        <item x="0"/>
        <item x="3"/>
        <item x="4"/>
        <item t="default"/>
      </items>
    </pivotField>
    <pivotField showAll="0"/>
    <pivotField showAll="0"/>
    <pivotField dataField="1" showAll="0"/>
  </pivotFields>
  <rowFields count="2">
    <field x="8"/>
    <field x="5"/>
  </rowFields>
  <rowItems count="14">
    <i>
      <x/>
    </i>
    <i r="1">
      <x v="1"/>
    </i>
    <i>
      <x v="1"/>
    </i>
    <i r="1">
      <x/>
    </i>
    <i r="1">
      <x v="1"/>
    </i>
    <i>
      <x v="2"/>
    </i>
    <i r="1">
      <x/>
    </i>
    <i r="1">
      <x v="1"/>
    </i>
    <i>
      <x v="3"/>
    </i>
    <i r="1">
      <x/>
    </i>
    <i r="1">
      <x v="1"/>
    </i>
    <i>
      <x v="4"/>
    </i>
    <i r="1">
      <x v="2"/>
    </i>
    <i t="grand">
      <x/>
    </i>
  </rowItems>
  <colItems count="1">
    <i/>
  </colItems>
  <dataFields count="1">
    <dataField name="Sum of Total" fld="11" baseField="0" baseItem="0"/>
  </dataField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5" count="1" selected="0">
            <x v="0"/>
          </reference>
          <reference field="8" count="1" selected="0">
            <x v="3"/>
          </reference>
        </references>
      </pivotArea>
    </chartFormat>
    <chartFormat chart="0" format="2">
      <pivotArea type="data" outline="0" fieldPosition="0">
        <references count="3">
          <reference field="4294967294" count="1" selected="0">
            <x v="0"/>
          </reference>
          <reference field="5" count="1" selected="0">
            <x v="0"/>
          </reference>
          <reference field="8" count="1" selected="0">
            <x v="2"/>
          </reference>
        </references>
      </pivotArea>
    </chartFormat>
    <chartFormat chart="0" format="3">
      <pivotArea type="data" outline="0" fieldPosition="0">
        <references count="3">
          <reference field="4294967294" count="1" selected="0">
            <x v="0"/>
          </reference>
          <reference field="5" count="1" selected="0">
            <x v="0"/>
          </reference>
          <reference field="8" count="1" selected="0">
            <x v="1"/>
          </reference>
        </references>
      </pivotArea>
    </chartFormat>
    <chartFormat chart="0" format="4">
      <pivotArea type="data" outline="0" fieldPosition="0">
        <references count="3">
          <reference field="4294967294" count="1" selected="0">
            <x v="0"/>
          </reference>
          <reference field="5" count="1" selected="0">
            <x v="1"/>
          </reference>
          <reference field="8" count="1" selected="0">
            <x v="3"/>
          </reference>
        </references>
      </pivotArea>
    </chartFormat>
    <chartFormat chart="0" format="5">
      <pivotArea type="data" outline="0" fieldPosition="0">
        <references count="3">
          <reference field="4294967294" count="1" selected="0">
            <x v="0"/>
          </reference>
          <reference field="5" count="1" selected="0">
            <x v="1"/>
          </reference>
          <reference field="8" count="1" selected="0">
            <x v="2"/>
          </reference>
        </references>
      </pivotArea>
    </chartFormat>
    <chartFormat chart="0" format="6">
      <pivotArea type="data" outline="0" fieldPosition="0">
        <references count="3">
          <reference field="4294967294" count="1" selected="0">
            <x v="0"/>
          </reference>
          <reference field="5" count="1" selected="0">
            <x v="1"/>
          </reference>
          <reference field="8" count="1" selected="0">
            <x v="1"/>
          </reference>
        </references>
      </pivotArea>
    </chartFormat>
    <chartFormat chart="0" format="7">
      <pivotArea type="data" outline="0" fieldPosition="0">
        <references count="3">
          <reference field="4294967294" count="1" selected="0">
            <x v="0"/>
          </reference>
          <reference field="5" count="1" selected="0">
            <x v="1"/>
          </reference>
          <reference field="8" count="1" selected="0">
            <x v="0"/>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3">
          <reference field="4294967294" count="1" selected="0">
            <x v="0"/>
          </reference>
          <reference field="5" count="1" selected="0">
            <x v="1"/>
          </reference>
          <reference field="8" count="1" selected="0">
            <x v="0"/>
          </reference>
        </references>
      </pivotArea>
    </chartFormat>
    <chartFormat chart="8" format="18">
      <pivotArea type="data" outline="0" fieldPosition="0">
        <references count="3">
          <reference field="4294967294" count="1" selected="0">
            <x v="0"/>
          </reference>
          <reference field="5" count="1" selected="0">
            <x v="0"/>
          </reference>
          <reference field="8" count="1" selected="0">
            <x v="1"/>
          </reference>
        </references>
      </pivotArea>
    </chartFormat>
    <chartFormat chart="8" format="19">
      <pivotArea type="data" outline="0" fieldPosition="0">
        <references count="3">
          <reference field="4294967294" count="1" selected="0">
            <x v="0"/>
          </reference>
          <reference field="5" count="1" selected="0">
            <x v="1"/>
          </reference>
          <reference field="8" count="1" selected="0">
            <x v="1"/>
          </reference>
        </references>
      </pivotArea>
    </chartFormat>
    <chartFormat chart="8" format="20">
      <pivotArea type="data" outline="0" fieldPosition="0">
        <references count="3">
          <reference field="4294967294" count="1" selected="0">
            <x v="0"/>
          </reference>
          <reference field="5" count="1" selected="0">
            <x v="0"/>
          </reference>
          <reference field="8" count="1" selected="0">
            <x v="2"/>
          </reference>
        </references>
      </pivotArea>
    </chartFormat>
    <chartFormat chart="8" format="21">
      <pivotArea type="data" outline="0" fieldPosition="0">
        <references count="3">
          <reference field="4294967294" count="1" selected="0">
            <x v="0"/>
          </reference>
          <reference field="5" count="1" selected="0">
            <x v="1"/>
          </reference>
          <reference field="8" count="1" selected="0">
            <x v="2"/>
          </reference>
        </references>
      </pivotArea>
    </chartFormat>
    <chartFormat chart="8" format="22">
      <pivotArea type="data" outline="0" fieldPosition="0">
        <references count="3">
          <reference field="4294967294" count="1" selected="0">
            <x v="0"/>
          </reference>
          <reference field="5" count="1" selected="0">
            <x v="0"/>
          </reference>
          <reference field="8" count="1" selected="0">
            <x v="3"/>
          </reference>
        </references>
      </pivotArea>
    </chartFormat>
    <chartFormat chart="8" format="23">
      <pivotArea type="data" outline="0" fieldPosition="0">
        <references count="3">
          <reference field="4294967294" count="1" selected="0">
            <x v="0"/>
          </reference>
          <reference field="5" count="1" selected="0">
            <x v="1"/>
          </reference>
          <reference field="8" count="1" selected="0">
            <x v="3"/>
          </reference>
        </references>
      </pivotArea>
    </chartFormat>
    <chartFormat chart="0" format="8">
      <pivotArea type="data" outline="0" fieldPosition="0">
        <references count="3">
          <reference field="4294967294" count="1" selected="0">
            <x v="0"/>
          </reference>
          <reference field="5" count="1" selected="0">
            <x v="2"/>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9EA661-7860-4ED3-BFB0-212D040EE09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8" firstHeaderRow="1" firstDataRow="1" firstDataCol="1"/>
  <pivotFields count="12">
    <pivotField showAll="0"/>
    <pivotField showAll="0"/>
    <pivotField showAll="0"/>
    <pivotField showAll="0">
      <items count="10">
        <item x="1"/>
        <item x="5"/>
        <item x="6"/>
        <item x="0"/>
        <item x="2"/>
        <item x="3"/>
        <item x="4"/>
        <item x="7"/>
        <item x="8"/>
        <item t="default"/>
      </items>
    </pivotField>
    <pivotField showAll="0"/>
    <pivotField showAll="0">
      <items count="4">
        <item x="1"/>
        <item x="0"/>
        <item x="2"/>
        <item t="default"/>
      </items>
    </pivotField>
    <pivotField axis="axisRow" showAll="0">
      <items count="5">
        <item x="1"/>
        <item x="0"/>
        <item x="2"/>
        <item x="3"/>
        <item t="default"/>
      </items>
    </pivotField>
    <pivotField showAll="0"/>
    <pivotField showAll="0">
      <items count="6">
        <item x="2"/>
        <item x="1"/>
        <item x="0"/>
        <item x="3"/>
        <item x="4"/>
        <item t="default"/>
      </items>
    </pivotField>
    <pivotField showAll="0"/>
    <pivotField showAll="0"/>
    <pivotField dataField="1" showAll="0"/>
  </pivotFields>
  <rowFields count="1">
    <field x="6"/>
  </rowFields>
  <rowItems count="5">
    <i>
      <x/>
    </i>
    <i>
      <x v="1"/>
    </i>
    <i>
      <x v="2"/>
    </i>
    <i>
      <x v="3"/>
    </i>
    <i t="grand">
      <x/>
    </i>
  </rowItems>
  <colItems count="1">
    <i/>
  </colItems>
  <dataFields count="1">
    <dataField name="Sum of Total" fld="11" baseField="0" baseItem="0"/>
  </dataFields>
  <chartFormats count="2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6" count="1" selected="0">
            <x v="0"/>
          </reference>
        </references>
      </pivotArea>
    </chartFormat>
    <chartFormat chart="8" format="12">
      <pivotArea type="data" outline="0" fieldPosition="0">
        <references count="2">
          <reference field="4294967294" count="1" selected="0">
            <x v="0"/>
          </reference>
          <reference field="6" count="1" selected="0">
            <x v="1"/>
          </reference>
        </references>
      </pivotArea>
    </chartFormat>
    <chartFormat chart="8" format="13">
      <pivotArea type="data" outline="0" fieldPosition="0">
        <references count="2">
          <reference field="4294967294" count="1" selected="0">
            <x v="0"/>
          </reference>
          <reference field="6" count="1" selected="0">
            <x v="2"/>
          </reference>
        </references>
      </pivotArea>
    </chartFormat>
    <chartFormat chart="8" format="14">
      <pivotArea type="data" outline="0" fieldPosition="0">
        <references count="2">
          <reference field="4294967294" count="1" selected="0">
            <x v="0"/>
          </reference>
          <reference field="6" count="1" selected="0">
            <x v="3"/>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6" count="1" selected="0">
            <x v="0"/>
          </reference>
        </references>
      </pivotArea>
    </chartFormat>
    <chartFormat chart="23" format="7">
      <pivotArea type="data" outline="0" fieldPosition="0">
        <references count="2">
          <reference field="4294967294" count="1" selected="0">
            <x v="0"/>
          </reference>
          <reference field="6" count="1" selected="0">
            <x v="1"/>
          </reference>
        </references>
      </pivotArea>
    </chartFormat>
    <chartFormat chart="23" format="8">
      <pivotArea type="data" outline="0" fieldPosition="0">
        <references count="2">
          <reference field="4294967294" count="1" selected="0">
            <x v="0"/>
          </reference>
          <reference field="6" count="1" selected="0">
            <x v="2"/>
          </reference>
        </references>
      </pivotArea>
    </chartFormat>
    <chartFormat chart="23" format="9">
      <pivotArea type="data" outline="0" fieldPosition="0">
        <references count="2">
          <reference field="4294967294" count="1" selected="0">
            <x v="0"/>
          </reference>
          <reference field="6" count="1" selected="0">
            <x v="3"/>
          </reference>
        </references>
      </pivotArea>
    </chartFormat>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6" count="1" selected="0">
            <x v="0"/>
          </reference>
        </references>
      </pivotArea>
    </chartFormat>
    <chartFormat chart="24" format="12">
      <pivotArea type="data" outline="0" fieldPosition="0">
        <references count="2">
          <reference field="4294967294" count="1" selected="0">
            <x v="0"/>
          </reference>
          <reference field="6" count="1" selected="0">
            <x v="1"/>
          </reference>
        </references>
      </pivotArea>
    </chartFormat>
    <chartFormat chart="24" format="13">
      <pivotArea type="data" outline="0" fieldPosition="0">
        <references count="2">
          <reference field="4294967294" count="1" selected="0">
            <x v="0"/>
          </reference>
          <reference field="6" count="1" selected="0">
            <x v="2"/>
          </reference>
        </references>
      </pivotArea>
    </chartFormat>
    <chartFormat chart="24" format="14">
      <pivotArea type="data" outline="0" fieldPosition="0">
        <references count="2">
          <reference field="4294967294" count="1" selected="0">
            <x v="0"/>
          </reference>
          <reference field="6" count="1" selected="0">
            <x v="3"/>
          </reference>
        </references>
      </pivotArea>
    </chartFormat>
    <chartFormat chart="25" format="10" series="1">
      <pivotArea type="data" outline="0" fieldPosition="0">
        <references count="1">
          <reference field="4294967294" count="1" selected="0">
            <x v="0"/>
          </reference>
        </references>
      </pivotArea>
    </chartFormat>
    <chartFormat chart="25" format="11">
      <pivotArea type="data" outline="0" fieldPosition="0">
        <references count="2">
          <reference field="4294967294" count="1" selected="0">
            <x v="0"/>
          </reference>
          <reference field="6" count="1" selected="0">
            <x v="0"/>
          </reference>
        </references>
      </pivotArea>
    </chartFormat>
    <chartFormat chart="25" format="12">
      <pivotArea type="data" outline="0" fieldPosition="0">
        <references count="2">
          <reference field="4294967294" count="1" selected="0">
            <x v="0"/>
          </reference>
          <reference field="6" count="1" selected="0">
            <x v="1"/>
          </reference>
        </references>
      </pivotArea>
    </chartFormat>
    <chartFormat chart="25" format="13">
      <pivotArea type="data" outline="0" fieldPosition="0">
        <references count="2">
          <reference field="4294967294" count="1" selected="0">
            <x v="0"/>
          </reference>
          <reference field="6" count="1" selected="0">
            <x v="2"/>
          </reference>
        </references>
      </pivotArea>
    </chartFormat>
    <chartFormat chart="25"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AFC37D-331C-4F85-9026-3816DD3D2AA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2">
    <pivotField showAll="0"/>
    <pivotField showAll="0"/>
    <pivotField showAll="0"/>
    <pivotField showAll="0">
      <items count="10">
        <item x="1"/>
        <item x="5"/>
        <item x="6"/>
        <item x="0"/>
        <item x="2"/>
        <item x="3"/>
        <item x="4"/>
        <item x="7"/>
        <item x="8"/>
        <item t="default"/>
      </items>
    </pivotField>
    <pivotField showAll="0"/>
    <pivotField showAll="0">
      <items count="4">
        <item x="1"/>
        <item x="0"/>
        <item x="2"/>
        <item t="default"/>
      </items>
    </pivotField>
    <pivotField showAll="0">
      <items count="5">
        <item x="1"/>
        <item x="0"/>
        <item x="2"/>
        <item x="3"/>
        <item t="default"/>
      </items>
    </pivotField>
    <pivotField showAll="0"/>
    <pivotField axis="axisRow" showAll="0">
      <items count="6">
        <item x="2"/>
        <item x="1"/>
        <item x="0"/>
        <item x="3"/>
        <item x="4"/>
        <item t="default"/>
      </items>
    </pivotField>
    <pivotField showAll="0"/>
    <pivotField showAll="0"/>
    <pivotField dataField="1" showAll="0"/>
  </pivotFields>
  <rowFields count="1">
    <field x="8"/>
  </rowFields>
  <rowItems count="6">
    <i>
      <x/>
    </i>
    <i>
      <x v="1"/>
    </i>
    <i>
      <x v="2"/>
    </i>
    <i>
      <x v="3"/>
    </i>
    <i>
      <x v="4"/>
    </i>
    <i t="grand">
      <x/>
    </i>
  </rowItems>
  <colItems count="1">
    <i/>
  </colItems>
  <dataFields count="1">
    <dataField name="Sum of Total" fld="11" baseField="0" baseItem="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2"/>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8" count="1" selected="0">
            <x v="0"/>
          </reference>
        </references>
      </pivotArea>
    </chartFormat>
    <chartFormat chart="1" format="8">
      <pivotArea type="data" outline="0" fieldPosition="0">
        <references count="2">
          <reference field="4294967294" count="1" selected="0">
            <x v="0"/>
          </reference>
          <reference field="8" count="1" selected="0">
            <x v="1"/>
          </reference>
        </references>
      </pivotArea>
    </chartFormat>
    <chartFormat chart="1" format="9">
      <pivotArea type="data" outline="0" fieldPosition="0">
        <references count="2">
          <reference field="4294967294" count="1" selected="0">
            <x v="0"/>
          </reference>
          <reference field="8" count="1" selected="0">
            <x v="2"/>
          </reference>
        </references>
      </pivotArea>
    </chartFormat>
    <chartFormat chart="1" format="10">
      <pivotArea type="data" outline="0" fieldPosition="0">
        <references count="2">
          <reference field="4294967294" count="1" selected="0">
            <x v="0"/>
          </reference>
          <reference field="8" count="1" selected="0">
            <x v="3"/>
          </reference>
        </references>
      </pivotArea>
    </chartFormat>
    <chartFormat chart="1" format="11">
      <pivotArea type="data" outline="0" fieldPosition="0">
        <references count="2">
          <reference field="4294967294" count="1" selected="0">
            <x v="0"/>
          </reference>
          <reference field="8" count="1" selected="0">
            <x v="4"/>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 chart="3" format="9">
      <pivotArea type="data" outline="0" fieldPosition="0">
        <references count="2">
          <reference field="4294967294" count="1" selected="0">
            <x v="0"/>
          </reference>
          <reference field="8" count="1" selected="0">
            <x v="2"/>
          </reference>
        </references>
      </pivotArea>
    </chartFormat>
    <chartFormat chart="3" format="10">
      <pivotArea type="data" outline="0" fieldPosition="0">
        <references count="2">
          <reference field="4294967294" count="1" selected="0">
            <x v="0"/>
          </reference>
          <reference field="8" count="1" selected="0">
            <x v="3"/>
          </reference>
        </references>
      </pivotArea>
    </chartFormat>
    <chartFormat chart="3" format="11">
      <pivotArea type="data" outline="0" fieldPosition="0">
        <references count="2">
          <reference field="4294967294" count="1" selected="0">
            <x v="0"/>
          </reference>
          <reference field="8"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8" count="1" selected="0">
            <x v="0"/>
          </reference>
        </references>
      </pivotArea>
    </chartFormat>
    <chartFormat chart="7" format="14">
      <pivotArea type="data" outline="0" fieldPosition="0">
        <references count="2">
          <reference field="4294967294" count="1" selected="0">
            <x v="0"/>
          </reference>
          <reference field="8" count="1" selected="0">
            <x v="1"/>
          </reference>
        </references>
      </pivotArea>
    </chartFormat>
    <chartFormat chart="7" format="15">
      <pivotArea type="data" outline="0" fieldPosition="0">
        <references count="2">
          <reference field="4294967294" count="1" selected="0">
            <x v="0"/>
          </reference>
          <reference field="8" count="1" selected="0">
            <x v="2"/>
          </reference>
        </references>
      </pivotArea>
    </chartFormat>
    <chartFormat chart="7" format="16">
      <pivotArea type="data" outline="0" fieldPosition="0">
        <references count="2">
          <reference field="4294967294" count="1" selected="0">
            <x v="0"/>
          </reference>
          <reference field="8" count="1" selected="0">
            <x v="3"/>
          </reference>
        </references>
      </pivotArea>
    </chartFormat>
    <chartFormat chart="7"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03A815-0640-42B5-BC6D-35E5B3BACD6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2">
    <pivotField showAll="0"/>
    <pivotField showAll="0"/>
    <pivotField showAll="0"/>
    <pivotField showAll="0">
      <items count="10">
        <item x="1"/>
        <item x="5"/>
        <item x="6"/>
        <item x="0"/>
        <item x="2"/>
        <item x="3"/>
        <item x="4"/>
        <item x="7"/>
        <item x="8"/>
        <item t="default"/>
      </items>
    </pivotField>
    <pivotField axis="axisRow" showAll="0" measureFilter="1">
      <items count="22">
        <item x="6"/>
        <item x="13"/>
        <item x="0"/>
        <item x="17"/>
        <item x="4"/>
        <item x="12"/>
        <item x="19"/>
        <item x="10"/>
        <item x="5"/>
        <item x="14"/>
        <item x="7"/>
        <item x="1"/>
        <item x="11"/>
        <item x="8"/>
        <item x="2"/>
        <item x="9"/>
        <item x="18"/>
        <item x="3"/>
        <item x="16"/>
        <item x="15"/>
        <item x="20"/>
        <item t="default"/>
      </items>
    </pivotField>
    <pivotField showAll="0">
      <items count="4">
        <item x="1"/>
        <item x="0"/>
        <item x="2"/>
        <item t="default"/>
      </items>
    </pivotField>
    <pivotField showAll="0">
      <items count="5">
        <item x="1"/>
        <item x="0"/>
        <item x="2"/>
        <item x="3"/>
        <item t="default"/>
      </items>
    </pivotField>
    <pivotField showAll="0"/>
    <pivotField showAll="0">
      <items count="6">
        <item x="2"/>
        <item x="1"/>
        <item x="0"/>
        <item x="3"/>
        <item x="4"/>
        <item t="default"/>
      </items>
    </pivotField>
    <pivotField showAll="0"/>
    <pivotField showAll="0"/>
    <pivotField dataField="1" showAll="0"/>
  </pivotFields>
  <rowFields count="1">
    <field x="4"/>
  </rowFields>
  <rowItems count="11">
    <i>
      <x v="1"/>
    </i>
    <i>
      <x v="2"/>
    </i>
    <i>
      <x v="7"/>
    </i>
    <i>
      <x v="10"/>
    </i>
    <i>
      <x v="12"/>
    </i>
    <i>
      <x v="14"/>
    </i>
    <i>
      <x v="15"/>
    </i>
    <i>
      <x v="16"/>
    </i>
    <i>
      <x v="17"/>
    </i>
    <i>
      <x v="18"/>
    </i>
    <i t="grand">
      <x/>
    </i>
  </rowItems>
  <colItems count="1">
    <i/>
  </colItems>
  <dataFields count="1">
    <dataField name="Sum of Total"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5D7FD57-811C-460F-81F9-8867E0FB1210}" sourceName="Month">
  <pivotTables>
    <pivotTable tabId="4" name="PivotTable1"/>
    <pivotTable tabId="9" name="PivotTable1"/>
    <pivotTable tabId="7" name="PivotTable4"/>
    <pivotTable tabId="8" name="PivotTable5"/>
    <pivotTable tabId="6" name="PivotTable3"/>
  </pivotTables>
  <data>
    <tabular pivotCacheId="372129762">
      <items count="9">
        <i x="1" s="1"/>
        <i x="5" s="1"/>
        <i x="6" s="1"/>
        <i x="0" s="1"/>
        <i x="2" s="1"/>
        <i x="3" s="1"/>
        <i x="4" s="1"/>
        <i x="7" s="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C4510B6-C194-47C3-964B-6CD6D1930919}" sourceName="Gender">
  <pivotTables>
    <pivotTable tabId="4" name="PivotTable1"/>
    <pivotTable tabId="9" name="PivotTable1"/>
    <pivotTable tabId="7" name="PivotTable4"/>
    <pivotTable tabId="8" name="PivotTable5"/>
    <pivotTable tabId="6" name="PivotTable3"/>
  </pivotTables>
  <data>
    <tabular pivotCacheId="372129762">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99B7C16-9CFF-431A-88FD-C3F67E2D7F86}" sourceName="Age Group">
  <pivotTables>
    <pivotTable tabId="4" name="PivotTable1"/>
    <pivotTable tabId="9" name="PivotTable1"/>
    <pivotTable tabId="7" name="PivotTable4"/>
    <pivotTable tabId="8" name="PivotTable5"/>
    <pivotTable tabId="6" name="PivotTable3"/>
  </pivotTables>
  <data>
    <tabular pivotCacheId="372129762">
      <items count="4">
        <i x="1" s="1"/>
        <i x="0"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d_Item" xr10:uid="{21A866E3-CA54-4E00-A056-CDEBF5187C19}" sourceName="Food Item">
  <pivotTables>
    <pivotTable tabId="4" name="PivotTable1"/>
    <pivotTable tabId="9" name="PivotTable1"/>
    <pivotTable tabId="7" name="PivotTable4"/>
    <pivotTable tabId="8" name="PivotTable5"/>
    <pivotTable tabId="6" name="PivotTable3"/>
  </pivotTables>
  <data>
    <tabular pivotCacheId="372129762">
      <items count="5">
        <i x="2" s="1"/>
        <i x="1" s="1"/>
        <i x="0"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A820868-133A-48AA-96CA-74BC89F49C36}" cache="Slicer_Month" caption="Month" style="SlicerStyleOther1" rowHeight="247650"/>
  <slicer name="Gender" xr10:uid="{D346B853-71EC-4A40-B95D-9A1F0E89F4D6}" cache="Slicer_Gender" caption="Gender" style="SlicerStyleLight2" rowHeight="247650"/>
  <slicer name="Age Group" xr10:uid="{693CC589-D7F0-4F30-8D96-C961C03BFC38}" cache="Slicer_Age_Group" caption="Age Group" style="SlicerStyleLight2" rowHeight="247650"/>
  <slicer name="Food Item" xr10:uid="{5D2C1B24-8949-41BF-9799-DE00342D0481}" cache="Slicer_Food_Item" caption="Food Item" style="SlicerStyleLight4"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98DC2-3C0A-4981-881D-0F7D0CF0D19C}">
  <dimension ref="A3:B6"/>
  <sheetViews>
    <sheetView workbookViewId="0">
      <selection activeCell="O8" sqref="O8"/>
    </sheetView>
  </sheetViews>
  <sheetFormatPr defaultRowHeight="14.4" x14ac:dyDescent="0.3"/>
  <cols>
    <col min="1" max="1" width="12.44140625" bestFit="1" customWidth="1"/>
    <col min="2" max="2" width="11.109375" bestFit="1" customWidth="1"/>
  </cols>
  <sheetData>
    <row r="3" spans="1:2" x14ac:dyDescent="0.3">
      <c r="A3" s="2" t="s">
        <v>37</v>
      </c>
      <c r="B3" t="s">
        <v>39</v>
      </c>
    </row>
    <row r="4" spans="1:2" x14ac:dyDescent="0.3">
      <c r="A4" s="3" t="s">
        <v>13</v>
      </c>
      <c r="B4">
        <v>3570</v>
      </c>
    </row>
    <row r="5" spans="1:2" x14ac:dyDescent="0.3">
      <c r="A5" s="3" t="s">
        <v>10</v>
      </c>
      <c r="B5">
        <v>3600</v>
      </c>
    </row>
    <row r="6" spans="1:2" x14ac:dyDescent="0.3">
      <c r="A6" s="3" t="s">
        <v>38</v>
      </c>
      <c r="B6">
        <v>7170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E431E-357B-4CF8-8951-4ED6C8340784}">
  <dimension ref="A3:B13"/>
  <sheetViews>
    <sheetView workbookViewId="0">
      <selection activeCell="M7" sqref="M7"/>
    </sheetView>
  </sheetViews>
  <sheetFormatPr defaultRowHeight="14.4" x14ac:dyDescent="0.3"/>
  <cols>
    <col min="1" max="1" width="12.44140625" bestFit="1" customWidth="1"/>
    <col min="2" max="2" width="11.109375" bestFit="1" customWidth="1"/>
  </cols>
  <sheetData>
    <row r="3" spans="1:2" x14ac:dyDescent="0.3">
      <c r="A3" s="2" t="s">
        <v>37</v>
      </c>
      <c r="B3" t="s">
        <v>39</v>
      </c>
    </row>
    <row r="4" spans="1:2" x14ac:dyDescent="0.3">
      <c r="A4" s="3" t="s">
        <v>40</v>
      </c>
      <c r="B4">
        <v>2690</v>
      </c>
    </row>
    <row r="5" spans="1:2" x14ac:dyDescent="0.3">
      <c r="A5" s="3" t="s">
        <v>41</v>
      </c>
      <c r="B5">
        <v>1040</v>
      </c>
    </row>
    <row r="6" spans="1:2" x14ac:dyDescent="0.3">
      <c r="A6" s="3" t="s">
        <v>42</v>
      </c>
      <c r="B6">
        <v>90</v>
      </c>
    </row>
    <row r="7" spans="1:2" x14ac:dyDescent="0.3">
      <c r="A7" s="3" t="s">
        <v>43</v>
      </c>
      <c r="B7">
        <v>1180</v>
      </c>
    </row>
    <row r="8" spans="1:2" x14ac:dyDescent="0.3">
      <c r="A8" s="3" t="s">
        <v>44</v>
      </c>
      <c r="B8">
        <v>1290</v>
      </c>
    </row>
    <row r="9" spans="1:2" x14ac:dyDescent="0.3">
      <c r="A9" s="3" t="s">
        <v>45</v>
      </c>
      <c r="B9">
        <v>270</v>
      </c>
    </row>
    <row r="10" spans="1:2" x14ac:dyDescent="0.3">
      <c r="A10" s="3" t="s">
        <v>46</v>
      </c>
      <c r="B10">
        <v>250</v>
      </c>
    </row>
    <row r="11" spans="1:2" x14ac:dyDescent="0.3">
      <c r="A11" s="3" t="s">
        <v>47</v>
      </c>
      <c r="B11">
        <v>360</v>
      </c>
    </row>
    <row r="12" spans="1:2" x14ac:dyDescent="0.3">
      <c r="A12" s="3" t="s">
        <v>48</v>
      </c>
    </row>
    <row r="13" spans="1:2" x14ac:dyDescent="0.3">
      <c r="A13" s="3" t="s">
        <v>38</v>
      </c>
      <c r="B13">
        <v>7170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49449-8BF9-4A89-B987-D3963B717E2F}">
  <dimension ref="A3:B17"/>
  <sheetViews>
    <sheetView workbookViewId="0">
      <selection activeCell="O15" sqref="O15"/>
    </sheetView>
  </sheetViews>
  <sheetFormatPr defaultRowHeight="14.4" x14ac:dyDescent="0.3"/>
  <cols>
    <col min="1" max="1" width="12.44140625" bestFit="1" customWidth="1"/>
    <col min="2" max="2" width="11.109375" bestFit="1" customWidth="1"/>
  </cols>
  <sheetData>
    <row r="3" spans="1:2" x14ac:dyDescent="0.3">
      <c r="A3" s="2" t="s">
        <v>37</v>
      </c>
      <c r="B3" t="s">
        <v>39</v>
      </c>
    </row>
    <row r="4" spans="1:2" x14ac:dyDescent="0.3">
      <c r="A4" s="3" t="s">
        <v>16</v>
      </c>
      <c r="B4">
        <v>1260</v>
      </c>
    </row>
    <row r="5" spans="1:2" x14ac:dyDescent="0.3">
      <c r="A5" s="4" t="s">
        <v>10</v>
      </c>
      <c r="B5">
        <v>1260</v>
      </c>
    </row>
    <row r="6" spans="1:2" x14ac:dyDescent="0.3">
      <c r="A6" s="3" t="s">
        <v>14</v>
      </c>
      <c r="B6">
        <v>1440</v>
      </c>
    </row>
    <row r="7" spans="1:2" x14ac:dyDescent="0.3">
      <c r="A7" s="4" t="s">
        <v>13</v>
      </c>
      <c r="B7">
        <v>960</v>
      </c>
    </row>
    <row r="8" spans="1:2" x14ac:dyDescent="0.3">
      <c r="A8" s="4" t="s">
        <v>10</v>
      </c>
      <c r="B8">
        <v>480</v>
      </c>
    </row>
    <row r="9" spans="1:2" x14ac:dyDescent="0.3">
      <c r="A9" s="3" t="s">
        <v>11</v>
      </c>
      <c r="B9">
        <v>3750</v>
      </c>
    </row>
    <row r="10" spans="1:2" x14ac:dyDescent="0.3">
      <c r="A10" s="4" t="s">
        <v>13</v>
      </c>
      <c r="B10">
        <v>2250</v>
      </c>
    </row>
    <row r="11" spans="1:2" x14ac:dyDescent="0.3">
      <c r="A11" s="4" t="s">
        <v>10</v>
      </c>
      <c r="B11">
        <v>1500</v>
      </c>
    </row>
    <row r="12" spans="1:2" x14ac:dyDescent="0.3">
      <c r="A12" s="3" t="s">
        <v>18</v>
      </c>
      <c r="B12">
        <v>720</v>
      </c>
    </row>
    <row r="13" spans="1:2" x14ac:dyDescent="0.3">
      <c r="A13" s="4" t="s">
        <v>13</v>
      </c>
      <c r="B13">
        <v>360</v>
      </c>
    </row>
    <row r="14" spans="1:2" x14ac:dyDescent="0.3">
      <c r="A14" s="4" t="s">
        <v>10</v>
      </c>
      <c r="B14">
        <v>360</v>
      </c>
    </row>
    <row r="15" spans="1:2" x14ac:dyDescent="0.3">
      <c r="A15" s="3" t="s">
        <v>48</v>
      </c>
    </row>
    <row r="16" spans="1:2" x14ac:dyDescent="0.3">
      <c r="A16" s="4" t="s">
        <v>48</v>
      </c>
    </row>
    <row r="17" spans="1:2" x14ac:dyDescent="0.3">
      <c r="A17" s="3" t="s">
        <v>38</v>
      </c>
      <c r="B17">
        <v>7170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5C1C5-8DE6-43C4-B8F5-001A253778EE}">
  <dimension ref="A3:B8"/>
  <sheetViews>
    <sheetView workbookViewId="0">
      <selection activeCell="M16" sqref="M16"/>
    </sheetView>
  </sheetViews>
  <sheetFormatPr defaultRowHeight="14.4" x14ac:dyDescent="0.3"/>
  <cols>
    <col min="1" max="1" width="12.44140625" bestFit="1" customWidth="1"/>
    <col min="2" max="2" width="11.109375" bestFit="1" customWidth="1"/>
  </cols>
  <sheetData>
    <row r="3" spans="1:2" x14ac:dyDescent="0.3">
      <c r="A3" s="2" t="s">
        <v>37</v>
      </c>
      <c r="B3" t="s">
        <v>39</v>
      </c>
    </row>
    <row r="4" spans="1:2" x14ac:dyDescent="0.3">
      <c r="A4" s="3" t="s">
        <v>49</v>
      </c>
      <c r="B4">
        <v>2330</v>
      </c>
    </row>
    <row r="5" spans="1:2" x14ac:dyDescent="0.3">
      <c r="A5" s="3" t="s">
        <v>50</v>
      </c>
      <c r="B5">
        <v>4590</v>
      </c>
    </row>
    <row r="6" spans="1:2" x14ac:dyDescent="0.3">
      <c r="A6" s="3" t="s">
        <v>51</v>
      </c>
      <c r="B6">
        <v>250</v>
      </c>
    </row>
    <row r="7" spans="1:2" x14ac:dyDescent="0.3">
      <c r="A7" s="3" t="s">
        <v>48</v>
      </c>
    </row>
    <row r="8" spans="1:2" x14ac:dyDescent="0.3">
      <c r="A8" s="3" t="s">
        <v>38</v>
      </c>
      <c r="B8">
        <v>7170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B915D-34F7-463C-915C-5F68F1A1FFC6}">
  <dimension ref="A3:B9"/>
  <sheetViews>
    <sheetView workbookViewId="0">
      <selection activeCell="N17" sqref="N17"/>
    </sheetView>
  </sheetViews>
  <sheetFormatPr defaultRowHeight="14.4" x14ac:dyDescent="0.3"/>
  <cols>
    <col min="1" max="1" width="12.44140625" bestFit="1" customWidth="1"/>
    <col min="2" max="2" width="11.109375" bestFit="1" customWidth="1"/>
  </cols>
  <sheetData>
    <row r="3" spans="1:2" x14ac:dyDescent="0.3">
      <c r="A3" s="2" t="s">
        <v>37</v>
      </c>
      <c r="B3" t="s">
        <v>39</v>
      </c>
    </row>
    <row r="4" spans="1:2" x14ac:dyDescent="0.3">
      <c r="A4" s="3" t="s">
        <v>16</v>
      </c>
      <c r="B4">
        <v>1260</v>
      </c>
    </row>
    <row r="5" spans="1:2" x14ac:dyDescent="0.3">
      <c r="A5" s="3" t="s">
        <v>14</v>
      </c>
      <c r="B5">
        <v>1440</v>
      </c>
    </row>
    <row r="6" spans="1:2" x14ac:dyDescent="0.3">
      <c r="A6" s="3" t="s">
        <v>11</v>
      </c>
      <c r="B6">
        <v>3750</v>
      </c>
    </row>
    <row r="7" spans="1:2" x14ac:dyDescent="0.3">
      <c r="A7" s="3" t="s">
        <v>18</v>
      </c>
      <c r="B7">
        <v>720</v>
      </c>
    </row>
    <row r="8" spans="1:2" x14ac:dyDescent="0.3">
      <c r="A8" s="3" t="s">
        <v>48</v>
      </c>
    </row>
    <row r="9" spans="1:2" x14ac:dyDescent="0.3">
      <c r="A9" s="3" t="s">
        <v>38</v>
      </c>
      <c r="B9">
        <v>7170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2B9B7-DABF-4374-9958-AF291588C2E0}">
  <dimension ref="A3:B14"/>
  <sheetViews>
    <sheetView workbookViewId="0">
      <selection activeCell="A5" sqref="A5"/>
    </sheetView>
  </sheetViews>
  <sheetFormatPr defaultRowHeight="14.4" x14ac:dyDescent="0.3"/>
  <cols>
    <col min="1" max="1" width="12.44140625" bestFit="1" customWidth="1"/>
    <col min="2" max="2" width="11.109375" bestFit="1" customWidth="1"/>
  </cols>
  <sheetData>
    <row r="3" spans="1:2" x14ac:dyDescent="0.3">
      <c r="A3" s="2" t="s">
        <v>37</v>
      </c>
      <c r="B3" t="s">
        <v>39</v>
      </c>
    </row>
    <row r="4" spans="1:2" x14ac:dyDescent="0.3">
      <c r="A4" s="3" t="s">
        <v>28</v>
      </c>
      <c r="B4">
        <v>500</v>
      </c>
    </row>
    <row r="5" spans="1:2" x14ac:dyDescent="0.3">
      <c r="A5" s="3" t="s">
        <v>9</v>
      </c>
      <c r="B5">
        <v>500</v>
      </c>
    </row>
    <row r="6" spans="1:2" x14ac:dyDescent="0.3">
      <c r="A6" s="3" t="s">
        <v>25</v>
      </c>
      <c r="B6">
        <v>500</v>
      </c>
    </row>
    <row r="7" spans="1:2" x14ac:dyDescent="0.3">
      <c r="A7" s="3" t="s">
        <v>22</v>
      </c>
      <c r="B7">
        <v>750</v>
      </c>
    </row>
    <row r="8" spans="1:2" x14ac:dyDescent="0.3">
      <c r="A8" s="3" t="s">
        <v>26</v>
      </c>
      <c r="B8">
        <v>540</v>
      </c>
    </row>
    <row r="9" spans="1:2" x14ac:dyDescent="0.3">
      <c r="A9" s="3" t="s">
        <v>15</v>
      </c>
      <c r="B9">
        <v>360</v>
      </c>
    </row>
    <row r="10" spans="1:2" x14ac:dyDescent="0.3">
      <c r="A10" s="3" t="s">
        <v>24</v>
      </c>
      <c r="B10">
        <v>480</v>
      </c>
    </row>
    <row r="11" spans="1:2" x14ac:dyDescent="0.3">
      <c r="A11" s="3" t="s">
        <v>33</v>
      </c>
      <c r="B11">
        <v>360</v>
      </c>
    </row>
    <row r="12" spans="1:2" x14ac:dyDescent="0.3">
      <c r="A12" s="3" t="s">
        <v>17</v>
      </c>
      <c r="B12">
        <v>270</v>
      </c>
    </row>
    <row r="13" spans="1:2" x14ac:dyDescent="0.3">
      <c r="A13" s="3" t="s">
        <v>31</v>
      </c>
      <c r="B13">
        <v>1000</v>
      </c>
    </row>
    <row r="14" spans="1:2" x14ac:dyDescent="0.3">
      <c r="A14" s="3" t="s">
        <v>38</v>
      </c>
      <c r="B14">
        <v>5260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3A24D-8C96-4AC7-A050-98E158DC2974}">
  <dimension ref="B21"/>
  <sheetViews>
    <sheetView showGridLines="0" showRowColHeaders="0" tabSelected="1" zoomScale="87" zoomScaleNormal="100" workbookViewId="0">
      <selection activeCell="S7" sqref="S7"/>
    </sheetView>
  </sheetViews>
  <sheetFormatPr defaultRowHeight="14.4" x14ac:dyDescent="0.3"/>
  <sheetData>
    <row r="21" spans="2:2" x14ac:dyDescent="0.3">
      <c r="B21" t="s">
        <v>53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DD6A6-A64F-4E5D-ACA6-C4CC2FBFC3F1}">
  <dimension ref="A2:R38"/>
  <sheetViews>
    <sheetView workbookViewId="0">
      <selection activeCell="F11" sqref="F11"/>
    </sheetView>
  </sheetViews>
  <sheetFormatPr defaultRowHeight="14.4" x14ac:dyDescent="0.3"/>
  <cols>
    <col min="1" max="1" width="14" customWidth="1"/>
    <col min="2" max="3" width="15.21875" customWidth="1"/>
    <col min="4" max="4" width="15.77734375" customWidth="1"/>
    <col min="5" max="6" width="18.77734375" customWidth="1"/>
    <col min="8" max="8" width="16.109375" customWidth="1"/>
    <col min="9" max="9" width="15" customWidth="1"/>
    <col min="10" max="10" width="11.88671875" customWidth="1"/>
    <col min="11" max="11" width="12.44140625" customWidth="1"/>
  </cols>
  <sheetData>
    <row r="2" spans="1:18" ht="18" x14ac:dyDescent="0.35">
      <c r="A2" s="8" t="s">
        <v>52</v>
      </c>
      <c r="B2" s="8"/>
      <c r="C2" s="8"/>
      <c r="D2" s="8"/>
      <c r="E2" s="8"/>
      <c r="F2" s="8"/>
      <c r="G2" s="8"/>
      <c r="H2" s="8"/>
      <c r="I2" s="8"/>
      <c r="J2" s="8"/>
      <c r="K2" s="8"/>
    </row>
    <row r="3" spans="1:18" ht="18" x14ac:dyDescent="0.35">
      <c r="A3" s="5" t="s">
        <v>0</v>
      </c>
      <c r="B3" s="5" t="s">
        <v>1</v>
      </c>
      <c r="C3" s="5" t="s">
        <v>36</v>
      </c>
      <c r="D3" s="5" t="s">
        <v>2</v>
      </c>
      <c r="E3" s="5" t="s">
        <v>3</v>
      </c>
      <c r="F3" s="5" t="s">
        <v>35</v>
      </c>
      <c r="G3" s="5" t="s">
        <v>4</v>
      </c>
      <c r="H3" s="5" t="s">
        <v>5</v>
      </c>
      <c r="I3" s="5" t="s">
        <v>6</v>
      </c>
      <c r="J3" s="5" t="s">
        <v>7</v>
      </c>
      <c r="K3" s="5" t="s">
        <v>8</v>
      </c>
      <c r="L3" s="1"/>
      <c r="M3" s="1"/>
      <c r="N3" s="1"/>
      <c r="O3" s="1"/>
      <c r="P3" s="1"/>
      <c r="Q3" s="1"/>
      <c r="R3" s="1"/>
    </row>
    <row r="4" spans="1:18" ht="18" x14ac:dyDescent="0.35">
      <c r="A4" s="6">
        <v>1001</v>
      </c>
      <c r="B4" s="7">
        <v>45809</v>
      </c>
      <c r="C4" s="7" t="str">
        <f>TEXT(B4,"mmmm")</f>
        <v>June</v>
      </c>
      <c r="D4" s="6" t="s">
        <v>9</v>
      </c>
      <c r="E4" s="6" t="s">
        <v>10</v>
      </c>
      <c r="F4" s="6" t="str">
        <f>IF(G5&gt;=30,"Senior",IF(G5&gt;=25,"Adult","Junior"))</f>
        <v>Junior</v>
      </c>
      <c r="G4" s="6">
        <v>22</v>
      </c>
      <c r="H4" s="6" t="s">
        <v>11</v>
      </c>
      <c r="I4" s="6">
        <v>2</v>
      </c>
      <c r="J4" s="6">
        <v>250</v>
      </c>
      <c r="K4" s="6">
        <v>500</v>
      </c>
      <c r="L4" s="1"/>
      <c r="M4" s="1"/>
      <c r="N4" s="1"/>
      <c r="O4" s="1"/>
      <c r="P4" s="1"/>
      <c r="Q4" s="1"/>
      <c r="R4" s="1"/>
    </row>
    <row r="5" spans="1:18" ht="18" x14ac:dyDescent="0.35">
      <c r="A5" s="6">
        <v>1002</v>
      </c>
      <c r="B5" s="7">
        <v>44928</v>
      </c>
      <c r="C5" s="7" t="str">
        <f t="shared" ref="C5:C23" si="0">TEXT(B5,"mmmm")</f>
        <v>January</v>
      </c>
      <c r="D5" s="6" t="s">
        <v>12</v>
      </c>
      <c r="E5" s="6" t="s">
        <v>13</v>
      </c>
      <c r="F5" s="6" t="str">
        <f>IF(G6&gt;=30,"Senior",IF(G6&gt;=25,"Adult","Junior"))</f>
        <v>Junior</v>
      </c>
      <c r="G5" s="6">
        <v>21</v>
      </c>
      <c r="H5" s="6" t="s">
        <v>14</v>
      </c>
      <c r="I5" s="6">
        <v>1</v>
      </c>
      <c r="J5" s="6">
        <v>120</v>
      </c>
      <c r="K5" s="6">
        <v>120</v>
      </c>
      <c r="L5" s="1"/>
      <c r="M5" s="1"/>
      <c r="N5" s="1"/>
      <c r="O5" s="1"/>
      <c r="P5" s="1"/>
      <c r="Q5" s="1"/>
      <c r="R5" s="1"/>
    </row>
    <row r="6" spans="1:18" ht="18" x14ac:dyDescent="0.35">
      <c r="A6" s="6">
        <v>1003</v>
      </c>
      <c r="B6" s="7">
        <v>45507</v>
      </c>
      <c r="C6" s="7" t="str">
        <f t="shared" si="0"/>
        <v>August</v>
      </c>
      <c r="D6" s="6" t="s">
        <v>15</v>
      </c>
      <c r="E6" s="6" t="s">
        <v>10</v>
      </c>
      <c r="F6" s="6" t="str">
        <f t="shared" ref="F6:F23" si="1">IF(G6&gt;=30,"Senior",IF(G6&gt;=25,"Adult","Junior"))</f>
        <v>Junior</v>
      </c>
      <c r="G6" s="6">
        <v>24</v>
      </c>
      <c r="H6" s="6" t="s">
        <v>16</v>
      </c>
      <c r="I6" s="6">
        <v>2</v>
      </c>
      <c r="J6" s="6">
        <v>180</v>
      </c>
      <c r="K6" s="6">
        <v>360</v>
      </c>
      <c r="L6" s="1"/>
      <c r="M6" s="1"/>
      <c r="N6" s="1"/>
      <c r="O6" s="1"/>
      <c r="P6" s="1"/>
      <c r="Q6" s="1"/>
      <c r="R6" s="1"/>
    </row>
    <row r="7" spans="1:18" ht="18" x14ac:dyDescent="0.35">
      <c r="A7" s="6">
        <v>1004</v>
      </c>
      <c r="B7" s="7">
        <v>45539</v>
      </c>
      <c r="C7" s="7" t="str">
        <f t="shared" si="0"/>
        <v>September</v>
      </c>
      <c r="D7" s="6" t="s">
        <v>17</v>
      </c>
      <c r="E7" s="6" t="s">
        <v>13</v>
      </c>
      <c r="F7" s="6" t="str">
        <f>IF(G7&gt;=50,"Senior",IF(G7&gt;=25,"Adult","Junior"))</f>
        <v>Junior</v>
      </c>
      <c r="G7" s="6">
        <v>20</v>
      </c>
      <c r="H7" s="6" t="s">
        <v>18</v>
      </c>
      <c r="I7" s="6">
        <v>3</v>
      </c>
      <c r="J7" s="6">
        <v>90</v>
      </c>
      <c r="K7" s="6">
        <v>270</v>
      </c>
      <c r="L7" s="1"/>
      <c r="M7" s="1"/>
      <c r="N7" s="1"/>
      <c r="O7" s="1"/>
      <c r="P7" s="1"/>
      <c r="Q7" s="1"/>
      <c r="R7" s="1"/>
    </row>
    <row r="8" spans="1:18" ht="18" x14ac:dyDescent="0.35">
      <c r="A8" s="6">
        <v>1005</v>
      </c>
      <c r="B8" s="7">
        <v>44839</v>
      </c>
      <c r="C8" s="7" t="str">
        <f t="shared" si="0"/>
        <v>October</v>
      </c>
      <c r="D8" s="6" t="s">
        <v>19</v>
      </c>
      <c r="E8" s="6" t="s">
        <v>10</v>
      </c>
      <c r="F8" s="6" t="str">
        <f t="shared" ref="F8:F22" si="2">IF(G8&gt;=50,"Senior",IF(G8&gt;=25,"Adult","Junior"))</f>
        <v>Adult</v>
      </c>
      <c r="G8" s="6">
        <v>25</v>
      </c>
      <c r="H8" s="6" t="s">
        <v>11</v>
      </c>
      <c r="I8" s="6">
        <v>1</v>
      </c>
      <c r="J8" s="6">
        <v>250</v>
      </c>
      <c r="K8" s="6">
        <v>250</v>
      </c>
      <c r="L8" s="1"/>
      <c r="M8" s="1"/>
      <c r="N8" s="1"/>
      <c r="O8" s="1"/>
      <c r="P8" s="1"/>
      <c r="Q8" s="1"/>
      <c r="R8" s="1"/>
    </row>
    <row r="9" spans="1:18" ht="18" x14ac:dyDescent="0.35">
      <c r="A9" s="6">
        <v>1006</v>
      </c>
      <c r="B9" s="7">
        <v>46028</v>
      </c>
      <c r="C9" s="7" t="str">
        <f t="shared" si="0"/>
        <v>January</v>
      </c>
      <c r="D9" s="6" t="s">
        <v>20</v>
      </c>
      <c r="E9" s="6" t="s">
        <v>13</v>
      </c>
      <c r="F9" s="6" t="str">
        <f t="shared" si="2"/>
        <v>Junior</v>
      </c>
      <c r="G9" s="6">
        <v>23</v>
      </c>
      <c r="H9" s="6" t="s">
        <v>14</v>
      </c>
      <c r="I9" s="6">
        <v>2</v>
      </c>
      <c r="J9" s="6">
        <v>120</v>
      </c>
      <c r="K9" s="6">
        <v>240</v>
      </c>
      <c r="L9" s="1"/>
      <c r="M9" s="1"/>
      <c r="N9" s="1"/>
      <c r="O9" s="1"/>
      <c r="P9" s="1"/>
      <c r="Q9" s="1"/>
      <c r="R9" s="1"/>
    </row>
    <row r="10" spans="1:18" ht="18" x14ac:dyDescent="0.35">
      <c r="A10" s="6">
        <v>1007</v>
      </c>
      <c r="B10" s="7">
        <v>46179</v>
      </c>
      <c r="C10" s="7" t="str">
        <f t="shared" si="0"/>
        <v>June</v>
      </c>
      <c r="D10" s="6" t="s">
        <v>21</v>
      </c>
      <c r="E10" s="6" t="s">
        <v>10</v>
      </c>
      <c r="F10" s="6" t="str">
        <f t="shared" si="2"/>
        <v>Adult</v>
      </c>
      <c r="G10" s="6">
        <v>26</v>
      </c>
      <c r="H10" s="6" t="s">
        <v>16</v>
      </c>
      <c r="I10" s="6">
        <v>1</v>
      </c>
      <c r="J10" s="6">
        <v>180</v>
      </c>
      <c r="K10" s="6">
        <v>180</v>
      </c>
      <c r="L10" s="1"/>
      <c r="M10" s="1"/>
      <c r="N10" s="1"/>
      <c r="O10" s="1"/>
      <c r="P10" s="1"/>
      <c r="Q10" s="1"/>
      <c r="R10" s="1"/>
    </row>
    <row r="11" spans="1:18" ht="18" x14ac:dyDescent="0.35">
      <c r="A11" s="6">
        <v>1008</v>
      </c>
      <c r="B11" s="7">
        <v>42590</v>
      </c>
      <c r="C11" s="7" t="str">
        <f t="shared" si="0"/>
        <v>August</v>
      </c>
      <c r="D11" s="6" t="s">
        <v>22</v>
      </c>
      <c r="E11" s="6" t="s">
        <v>13</v>
      </c>
      <c r="F11" s="6" t="str">
        <f t="shared" si="2"/>
        <v>Junior</v>
      </c>
      <c r="G11" s="6">
        <v>22</v>
      </c>
      <c r="H11" s="6" t="s">
        <v>11</v>
      </c>
      <c r="I11" s="6">
        <v>3</v>
      </c>
      <c r="J11" s="6">
        <v>250</v>
      </c>
      <c r="K11" s="6">
        <v>750</v>
      </c>
      <c r="L11" s="1"/>
      <c r="M11" s="1"/>
      <c r="N11" s="1"/>
      <c r="O11" s="1"/>
      <c r="P11" s="1"/>
      <c r="Q11" s="1"/>
      <c r="R11" s="1"/>
    </row>
    <row r="12" spans="1:18" ht="18" x14ac:dyDescent="0.35">
      <c r="A12" s="6">
        <v>1009</v>
      </c>
      <c r="B12" s="7">
        <v>42378</v>
      </c>
      <c r="C12" s="7" t="str">
        <f t="shared" si="0"/>
        <v>January</v>
      </c>
      <c r="D12" s="6" t="s">
        <v>23</v>
      </c>
      <c r="E12" s="6" t="s">
        <v>10</v>
      </c>
      <c r="F12" s="6" t="str">
        <f t="shared" si="2"/>
        <v>Adult</v>
      </c>
      <c r="G12" s="6">
        <v>28</v>
      </c>
      <c r="H12" s="6" t="s">
        <v>18</v>
      </c>
      <c r="I12" s="6">
        <v>2</v>
      </c>
      <c r="J12" s="6">
        <v>90</v>
      </c>
      <c r="K12" s="6">
        <v>180</v>
      </c>
      <c r="L12" s="1"/>
      <c r="M12" s="1"/>
      <c r="N12" s="1"/>
      <c r="O12" s="1"/>
      <c r="P12" s="1"/>
      <c r="Q12" s="1"/>
      <c r="R12" s="1"/>
    </row>
    <row r="13" spans="1:18" ht="18" x14ac:dyDescent="0.35">
      <c r="A13" s="6">
        <v>1010</v>
      </c>
      <c r="B13" s="7">
        <v>46032</v>
      </c>
      <c r="C13" s="7" t="str">
        <f t="shared" si="0"/>
        <v>January</v>
      </c>
      <c r="D13" s="6" t="s">
        <v>24</v>
      </c>
      <c r="E13" s="6" t="s">
        <v>10</v>
      </c>
      <c r="F13" s="6" t="str">
        <f t="shared" si="2"/>
        <v>Junior</v>
      </c>
      <c r="G13" s="6">
        <v>21</v>
      </c>
      <c r="H13" s="6" t="s">
        <v>14</v>
      </c>
      <c r="I13" s="6">
        <v>4</v>
      </c>
      <c r="J13" s="6">
        <v>120</v>
      </c>
      <c r="K13" s="6">
        <v>480</v>
      </c>
      <c r="L13" s="1"/>
      <c r="M13" s="1"/>
      <c r="N13" s="1"/>
      <c r="O13" s="1"/>
      <c r="P13" s="1"/>
      <c r="Q13" s="1"/>
      <c r="R13" s="1"/>
    </row>
    <row r="14" spans="1:18" ht="18" x14ac:dyDescent="0.35">
      <c r="A14" s="6">
        <v>1011</v>
      </c>
      <c r="B14" s="7">
        <v>46092</v>
      </c>
      <c r="C14" s="7" t="str">
        <f t="shared" si="0"/>
        <v>March</v>
      </c>
      <c r="D14" s="6" t="s">
        <v>25</v>
      </c>
      <c r="E14" s="6" t="s">
        <v>13</v>
      </c>
      <c r="F14" s="6" t="str">
        <f t="shared" si="2"/>
        <v>Junior</v>
      </c>
      <c r="G14" s="6">
        <v>24</v>
      </c>
      <c r="H14" s="6" t="s">
        <v>11</v>
      </c>
      <c r="I14" s="6">
        <v>2</v>
      </c>
      <c r="J14" s="6">
        <v>250</v>
      </c>
      <c r="K14" s="6">
        <v>500</v>
      </c>
      <c r="L14" s="1"/>
      <c r="M14" s="1"/>
      <c r="N14" s="1"/>
      <c r="O14" s="1"/>
      <c r="P14" s="1"/>
      <c r="Q14" s="1"/>
      <c r="R14" s="1"/>
    </row>
    <row r="15" spans="1:18" ht="18" x14ac:dyDescent="0.35">
      <c r="A15" s="6">
        <v>1012</v>
      </c>
      <c r="B15" s="7">
        <v>46093</v>
      </c>
      <c r="C15" s="7" t="str">
        <f t="shared" si="0"/>
        <v>March</v>
      </c>
      <c r="D15" s="6" t="s">
        <v>26</v>
      </c>
      <c r="E15" s="6" t="s">
        <v>10</v>
      </c>
      <c r="F15" s="6" t="str">
        <f t="shared" si="2"/>
        <v>Adult</v>
      </c>
      <c r="G15" s="6">
        <v>27</v>
      </c>
      <c r="H15" s="6" t="s">
        <v>16</v>
      </c>
      <c r="I15" s="6">
        <v>3</v>
      </c>
      <c r="J15" s="6">
        <v>180</v>
      </c>
      <c r="K15" s="6">
        <v>540</v>
      </c>
      <c r="L15" s="1"/>
      <c r="M15" s="1"/>
      <c r="N15" s="1"/>
      <c r="O15" s="1"/>
      <c r="P15" s="1"/>
      <c r="Q15" s="1"/>
      <c r="R15" s="1"/>
    </row>
    <row r="16" spans="1:18" ht="18" x14ac:dyDescent="0.35">
      <c r="A16" s="6">
        <v>1013</v>
      </c>
      <c r="B16" s="7">
        <v>46155</v>
      </c>
      <c r="C16" s="7" t="str">
        <f t="shared" si="0"/>
        <v>May</v>
      </c>
      <c r="D16" s="6" t="s">
        <v>27</v>
      </c>
      <c r="E16" s="6" t="s">
        <v>13</v>
      </c>
      <c r="F16" s="6" t="str">
        <f t="shared" si="2"/>
        <v>Junior</v>
      </c>
      <c r="G16" s="6">
        <v>20</v>
      </c>
      <c r="H16" s="6" t="s">
        <v>18</v>
      </c>
      <c r="I16" s="6">
        <v>1</v>
      </c>
      <c r="J16" s="6">
        <v>90</v>
      </c>
      <c r="K16" s="6">
        <v>90</v>
      </c>
      <c r="L16" s="1"/>
      <c r="M16" s="1"/>
      <c r="N16" s="1"/>
      <c r="O16" s="1"/>
      <c r="P16" s="1"/>
      <c r="Q16" s="1"/>
      <c r="R16" s="1"/>
    </row>
    <row r="17" spans="1:18" ht="18" x14ac:dyDescent="0.35">
      <c r="A17" s="6">
        <v>1014</v>
      </c>
      <c r="B17" s="7">
        <v>46187</v>
      </c>
      <c r="C17" s="7" t="str">
        <f t="shared" si="0"/>
        <v>June</v>
      </c>
      <c r="D17" s="6" t="s">
        <v>28</v>
      </c>
      <c r="E17" s="6" t="s">
        <v>10</v>
      </c>
      <c r="F17" s="6" t="str">
        <f t="shared" si="2"/>
        <v>Junior</v>
      </c>
      <c r="G17" s="6">
        <v>23</v>
      </c>
      <c r="H17" s="6" t="s">
        <v>11</v>
      </c>
      <c r="I17" s="6">
        <v>2</v>
      </c>
      <c r="J17" s="6">
        <v>250</v>
      </c>
      <c r="K17" s="6">
        <v>500</v>
      </c>
      <c r="L17" s="1"/>
      <c r="M17" s="1"/>
      <c r="N17" s="1"/>
      <c r="O17" s="1"/>
      <c r="P17" s="1"/>
      <c r="Q17" s="1"/>
      <c r="R17" s="1"/>
    </row>
    <row r="18" spans="1:18" ht="18" x14ac:dyDescent="0.35">
      <c r="A18" s="6">
        <v>1015</v>
      </c>
      <c r="B18" s="7">
        <v>44941</v>
      </c>
      <c r="C18" s="7" t="str">
        <f t="shared" si="0"/>
        <v>January</v>
      </c>
      <c r="D18" s="6" t="s">
        <v>29</v>
      </c>
      <c r="E18" s="6" t="s">
        <v>13</v>
      </c>
      <c r="F18" s="6" t="str">
        <f t="shared" si="2"/>
        <v>Junior</v>
      </c>
      <c r="G18" s="6">
        <v>22</v>
      </c>
      <c r="H18" s="6" t="s">
        <v>14</v>
      </c>
      <c r="I18" s="6">
        <v>2</v>
      </c>
      <c r="J18" s="6">
        <v>120</v>
      </c>
      <c r="K18" s="6">
        <v>240</v>
      </c>
      <c r="L18" s="1"/>
      <c r="M18" s="1"/>
      <c r="N18" s="1"/>
      <c r="O18" s="1"/>
      <c r="P18" s="1"/>
      <c r="Q18" s="1"/>
      <c r="R18" s="1"/>
    </row>
    <row r="19" spans="1:18" ht="18" x14ac:dyDescent="0.35">
      <c r="A19" s="6">
        <v>1016</v>
      </c>
      <c r="B19" s="7">
        <v>46250</v>
      </c>
      <c r="C19" s="7" t="str">
        <f t="shared" si="0"/>
        <v>August</v>
      </c>
      <c r="D19" s="6" t="s">
        <v>30</v>
      </c>
      <c r="E19" s="6" t="s">
        <v>10</v>
      </c>
      <c r="F19" s="6" t="str">
        <f t="shared" si="2"/>
        <v>Adult</v>
      </c>
      <c r="G19" s="6">
        <v>29</v>
      </c>
      <c r="H19" s="6" t="s">
        <v>16</v>
      </c>
      <c r="I19" s="6">
        <v>1</v>
      </c>
      <c r="J19" s="6">
        <v>180</v>
      </c>
      <c r="K19" s="6">
        <v>180</v>
      </c>
      <c r="L19" s="1"/>
      <c r="M19" s="1"/>
      <c r="N19" s="1"/>
      <c r="O19" s="1"/>
      <c r="P19" s="1"/>
      <c r="Q19" s="1"/>
      <c r="R19" s="1"/>
    </row>
    <row r="20" spans="1:18" ht="18" x14ac:dyDescent="0.35">
      <c r="A20" s="6">
        <v>1017</v>
      </c>
      <c r="B20" s="7">
        <v>46039</v>
      </c>
      <c r="C20" s="7" t="str">
        <f t="shared" si="0"/>
        <v>January</v>
      </c>
      <c r="D20" s="6" t="s">
        <v>31</v>
      </c>
      <c r="E20" s="6" t="s">
        <v>13</v>
      </c>
      <c r="F20" s="6" t="str">
        <f t="shared" si="2"/>
        <v>Adult</v>
      </c>
      <c r="G20" s="6">
        <v>25</v>
      </c>
      <c r="H20" s="6" t="s">
        <v>11</v>
      </c>
      <c r="I20" s="6">
        <v>4</v>
      </c>
      <c r="J20" s="6">
        <v>250</v>
      </c>
      <c r="K20" s="6">
        <v>1000</v>
      </c>
      <c r="L20" s="1"/>
      <c r="M20" s="1"/>
      <c r="N20" s="1"/>
      <c r="O20" s="1"/>
      <c r="P20" s="1"/>
      <c r="Q20" s="1"/>
      <c r="R20" s="1"/>
    </row>
    <row r="21" spans="1:18" ht="18" x14ac:dyDescent="0.35">
      <c r="A21" s="6">
        <v>1018</v>
      </c>
      <c r="B21" s="7">
        <v>46040</v>
      </c>
      <c r="C21" s="7" t="str">
        <f t="shared" si="0"/>
        <v>January</v>
      </c>
      <c r="D21" s="6" t="s">
        <v>32</v>
      </c>
      <c r="E21" s="6" t="s">
        <v>10</v>
      </c>
      <c r="F21" s="6" t="str">
        <f t="shared" si="2"/>
        <v>Junior</v>
      </c>
      <c r="G21" s="6">
        <v>24</v>
      </c>
      <c r="H21" s="6" t="s">
        <v>18</v>
      </c>
      <c r="I21" s="6">
        <v>2</v>
      </c>
      <c r="J21" s="6">
        <v>90</v>
      </c>
      <c r="K21" s="6">
        <v>180</v>
      </c>
      <c r="L21" s="1"/>
      <c r="M21" s="1"/>
      <c r="N21" s="1"/>
      <c r="O21" s="1"/>
      <c r="P21" s="1"/>
      <c r="Q21" s="1"/>
      <c r="R21" s="1"/>
    </row>
    <row r="22" spans="1:18" ht="18" x14ac:dyDescent="0.35">
      <c r="A22" s="6">
        <v>1019</v>
      </c>
      <c r="B22" s="7">
        <v>44914</v>
      </c>
      <c r="C22" s="7" t="str">
        <f t="shared" si="0"/>
        <v>December</v>
      </c>
      <c r="D22" s="6" t="s">
        <v>33</v>
      </c>
      <c r="E22" s="6" t="s">
        <v>13</v>
      </c>
      <c r="F22" s="6" t="str">
        <f t="shared" si="2"/>
        <v>Junior</v>
      </c>
      <c r="G22" s="6">
        <v>21</v>
      </c>
      <c r="H22" s="6" t="s">
        <v>14</v>
      </c>
      <c r="I22" s="6">
        <v>3</v>
      </c>
      <c r="J22" s="6">
        <v>120</v>
      </c>
      <c r="K22" s="6">
        <v>360</v>
      </c>
      <c r="L22" s="1"/>
      <c r="M22" s="1"/>
      <c r="N22" s="1"/>
      <c r="O22" s="1"/>
      <c r="P22" s="1"/>
      <c r="Q22" s="1"/>
      <c r="R22" s="1"/>
    </row>
    <row r="23" spans="1:18" ht="18" x14ac:dyDescent="0.35">
      <c r="A23" s="6">
        <v>1020</v>
      </c>
      <c r="B23" s="7">
        <v>46042</v>
      </c>
      <c r="C23" s="7" t="str">
        <f t="shared" si="0"/>
        <v>January</v>
      </c>
      <c r="D23" s="6" t="s">
        <v>34</v>
      </c>
      <c r="E23" s="6" t="s">
        <v>10</v>
      </c>
      <c r="F23" s="6" t="str">
        <f t="shared" si="1"/>
        <v>Senior</v>
      </c>
      <c r="G23" s="6">
        <v>30</v>
      </c>
      <c r="H23" s="6" t="s">
        <v>11</v>
      </c>
      <c r="I23" s="6">
        <v>1</v>
      </c>
      <c r="J23" s="6">
        <v>250</v>
      </c>
      <c r="K23" s="6">
        <v>250</v>
      </c>
      <c r="L23" s="1"/>
      <c r="M23" s="1"/>
      <c r="N23" s="1"/>
      <c r="O23" s="1"/>
      <c r="P23" s="1"/>
      <c r="Q23" s="1"/>
      <c r="R23" s="1"/>
    </row>
    <row r="24" spans="1:18" ht="18" x14ac:dyDescent="0.35">
      <c r="A24" s="1"/>
      <c r="B24" s="1"/>
      <c r="C24" s="1"/>
      <c r="D24" s="1"/>
      <c r="E24" s="1"/>
      <c r="F24" s="1"/>
      <c r="G24" s="1"/>
      <c r="H24" s="1">
        <f>COUNTA(H4:H23)</f>
        <v>20</v>
      </c>
      <c r="I24" s="1"/>
      <c r="J24" s="1"/>
      <c r="K24" s="1">
        <f>SUM(K4:K23)</f>
        <v>7170</v>
      </c>
      <c r="L24" s="1"/>
      <c r="M24" s="1"/>
      <c r="N24" s="1"/>
      <c r="O24" s="1"/>
      <c r="P24" s="1"/>
      <c r="Q24" s="1"/>
      <c r="R24" s="1"/>
    </row>
    <row r="25" spans="1:18" ht="18" x14ac:dyDescent="0.35">
      <c r="A25" s="1"/>
      <c r="B25" s="1"/>
      <c r="C25" s="1"/>
      <c r="D25" s="1"/>
      <c r="E25" s="1"/>
      <c r="F25" s="1"/>
      <c r="G25" s="1"/>
      <c r="H25" s="1"/>
      <c r="I25" s="1"/>
      <c r="J25" s="1"/>
      <c r="K25" s="1"/>
      <c r="L25" s="1"/>
      <c r="M25" s="1"/>
      <c r="N25" s="1"/>
      <c r="O25" s="1"/>
      <c r="P25" s="1"/>
      <c r="Q25" s="1"/>
      <c r="R25" s="1"/>
    </row>
    <row r="26" spans="1:18" ht="18" x14ac:dyDescent="0.35">
      <c r="A26" s="1"/>
      <c r="B26" s="1"/>
      <c r="C26" s="1"/>
      <c r="D26" s="1"/>
      <c r="E26" s="1"/>
      <c r="F26" s="1"/>
      <c r="G26" s="1"/>
      <c r="H26" s="1"/>
      <c r="I26" s="1"/>
      <c r="J26" s="1"/>
      <c r="K26" s="1"/>
      <c r="L26" s="1"/>
      <c r="M26" s="1"/>
      <c r="N26" s="1"/>
      <c r="O26" s="1"/>
      <c r="P26" s="1"/>
      <c r="Q26" s="1"/>
      <c r="R26" s="1"/>
    </row>
    <row r="27" spans="1:18" ht="18" x14ac:dyDescent="0.35">
      <c r="A27" s="1"/>
      <c r="B27" s="1"/>
      <c r="C27" s="1"/>
      <c r="D27" s="1"/>
      <c r="E27" s="1"/>
      <c r="F27" s="1"/>
      <c r="G27" s="1"/>
      <c r="H27" s="1"/>
      <c r="I27" s="1"/>
      <c r="J27" s="1"/>
      <c r="K27" s="1"/>
      <c r="L27" s="1"/>
      <c r="M27" s="1"/>
      <c r="N27" s="1"/>
      <c r="O27" s="1"/>
      <c r="P27" s="1"/>
      <c r="Q27" s="1"/>
      <c r="R27" s="1"/>
    </row>
    <row r="28" spans="1:18" ht="18" x14ac:dyDescent="0.35">
      <c r="A28" s="1"/>
      <c r="B28" s="1"/>
      <c r="C28" s="1"/>
      <c r="D28" s="1"/>
      <c r="E28" s="1"/>
      <c r="F28" s="1"/>
      <c r="G28" s="1"/>
      <c r="H28" s="1"/>
      <c r="I28" s="1"/>
      <c r="J28" s="1"/>
      <c r="K28" s="1"/>
      <c r="L28" s="1"/>
      <c r="M28" s="1"/>
      <c r="N28" s="1"/>
      <c r="O28" s="1"/>
      <c r="P28" s="1"/>
      <c r="Q28" s="1"/>
      <c r="R28" s="1"/>
    </row>
    <row r="29" spans="1:18" ht="18" x14ac:dyDescent="0.35">
      <c r="A29" s="1"/>
      <c r="B29" s="1"/>
      <c r="C29" s="1"/>
      <c r="D29" s="1"/>
      <c r="E29" s="1"/>
      <c r="F29" s="1"/>
      <c r="G29" s="1"/>
      <c r="H29" s="1"/>
      <c r="I29" s="1"/>
      <c r="J29" s="1"/>
      <c r="K29" s="1"/>
      <c r="L29" s="1"/>
      <c r="M29" s="1"/>
      <c r="N29" s="1"/>
      <c r="O29" s="1"/>
      <c r="P29" s="1"/>
      <c r="Q29" s="1"/>
      <c r="R29" s="1"/>
    </row>
    <row r="30" spans="1:18" ht="18" x14ac:dyDescent="0.35">
      <c r="A30" s="1"/>
      <c r="B30" s="1"/>
      <c r="C30" s="1"/>
      <c r="D30" s="1"/>
      <c r="E30" s="1"/>
      <c r="F30" s="1"/>
      <c r="G30" s="1"/>
      <c r="H30" s="1"/>
      <c r="I30" s="1"/>
      <c r="J30" s="1"/>
      <c r="K30" s="1"/>
      <c r="L30" s="1"/>
      <c r="M30" s="1"/>
      <c r="N30" s="1"/>
      <c r="O30" s="1"/>
      <c r="P30" s="1"/>
      <c r="Q30" s="1"/>
      <c r="R30" s="1"/>
    </row>
    <row r="31" spans="1:18" ht="18" x14ac:dyDescent="0.35">
      <c r="A31" s="1"/>
      <c r="B31" s="1"/>
      <c r="C31" s="1"/>
      <c r="D31" s="1"/>
      <c r="E31" s="1"/>
      <c r="F31" s="1"/>
      <c r="G31" s="1"/>
      <c r="H31" s="1"/>
      <c r="I31" s="1"/>
      <c r="J31" s="1"/>
      <c r="K31" s="1"/>
      <c r="L31" s="1"/>
      <c r="M31" s="1"/>
      <c r="N31" s="1"/>
      <c r="O31" s="1"/>
      <c r="P31" s="1"/>
      <c r="Q31" s="1"/>
      <c r="R31" s="1"/>
    </row>
    <row r="32" spans="1:18" ht="18" x14ac:dyDescent="0.35">
      <c r="A32" s="1"/>
      <c r="B32" s="1"/>
      <c r="C32" s="1"/>
      <c r="D32" s="1"/>
      <c r="E32" s="1"/>
      <c r="F32" s="1"/>
      <c r="G32" s="1"/>
      <c r="H32" s="1"/>
      <c r="I32" s="1"/>
      <c r="J32" s="1"/>
      <c r="K32" s="1"/>
      <c r="L32" s="1"/>
      <c r="M32" s="1"/>
      <c r="N32" s="1"/>
      <c r="O32" s="1"/>
      <c r="P32" s="1"/>
      <c r="Q32" s="1"/>
      <c r="R32" s="1"/>
    </row>
    <row r="33" spans="1:18" ht="18" x14ac:dyDescent="0.35">
      <c r="A33" s="1"/>
      <c r="B33" s="1"/>
      <c r="C33" s="1"/>
      <c r="D33" s="1"/>
      <c r="E33" s="1"/>
      <c r="F33" s="1"/>
      <c r="G33" s="1"/>
      <c r="H33" s="1"/>
      <c r="I33" s="1"/>
      <c r="J33" s="1"/>
      <c r="K33" s="1"/>
      <c r="L33" s="1"/>
      <c r="M33" s="1"/>
      <c r="N33" s="1"/>
      <c r="O33" s="1"/>
      <c r="P33" s="1"/>
      <c r="Q33" s="1"/>
      <c r="R33" s="1"/>
    </row>
    <row r="34" spans="1:18" ht="18" x14ac:dyDescent="0.35">
      <c r="A34" s="1"/>
      <c r="B34" s="1"/>
      <c r="C34" s="1"/>
      <c r="D34" s="1"/>
      <c r="E34" s="1"/>
      <c r="F34" s="1"/>
      <c r="G34" s="1"/>
      <c r="H34" s="1"/>
      <c r="I34" s="1"/>
      <c r="J34" s="1"/>
      <c r="K34" s="1"/>
      <c r="L34" s="1"/>
      <c r="M34" s="1"/>
      <c r="N34" s="1"/>
      <c r="O34" s="1"/>
      <c r="P34" s="1"/>
      <c r="Q34" s="1"/>
      <c r="R34" s="1"/>
    </row>
    <row r="35" spans="1:18" ht="18" x14ac:dyDescent="0.35">
      <c r="A35" s="1"/>
      <c r="B35" s="1"/>
      <c r="C35" s="1"/>
      <c r="D35" s="1"/>
      <c r="E35" s="1"/>
      <c r="F35" s="1"/>
      <c r="G35" s="1"/>
      <c r="H35" s="1"/>
      <c r="I35" s="1"/>
      <c r="J35" s="1"/>
      <c r="K35" s="1"/>
      <c r="L35" s="1"/>
      <c r="M35" s="1"/>
      <c r="N35" s="1"/>
      <c r="O35" s="1"/>
      <c r="P35" s="1"/>
      <c r="Q35" s="1"/>
      <c r="R35" s="1"/>
    </row>
    <row r="36" spans="1:18" ht="18" x14ac:dyDescent="0.35">
      <c r="A36" s="1"/>
      <c r="B36" s="1"/>
      <c r="C36" s="1"/>
      <c r="D36" s="1"/>
      <c r="E36" s="1"/>
      <c r="F36" s="1"/>
      <c r="G36" s="1"/>
      <c r="H36" s="1"/>
      <c r="I36" s="1"/>
      <c r="J36" s="1"/>
      <c r="K36" s="1"/>
      <c r="L36" s="1"/>
      <c r="M36" s="1"/>
      <c r="N36" s="1"/>
      <c r="O36" s="1"/>
      <c r="P36" s="1"/>
      <c r="Q36" s="1"/>
      <c r="R36" s="1"/>
    </row>
    <row r="37" spans="1:18" ht="18" x14ac:dyDescent="0.35">
      <c r="A37" s="1"/>
      <c r="B37" s="1"/>
      <c r="C37" s="1"/>
      <c r="D37" s="1"/>
      <c r="E37" s="1"/>
      <c r="F37" s="1"/>
      <c r="G37" s="1"/>
      <c r="H37" s="1"/>
      <c r="I37" s="1"/>
      <c r="J37" s="1"/>
      <c r="K37" s="1"/>
      <c r="L37" s="1"/>
      <c r="M37" s="1"/>
      <c r="N37" s="1"/>
      <c r="O37" s="1"/>
      <c r="P37" s="1"/>
      <c r="Q37" s="1"/>
      <c r="R37" s="1"/>
    </row>
    <row r="38" spans="1:18" ht="18" x14ac:dyDescent="0.35">
      <c r="A38" s="1"/>
      <c r="B38" s="1"/>
      <c r="C38" s="1"/>
      <c r="D38" s="1"/>
      <c r="E38" s="1"/>
      <c r="F38" s="1"/>
      <c r="G38" s="1"/>
      <c r="H38" s="1"/>
      <c r="I38" s="1"/>
      <c r="J38" s="1"/>
      <c r="K38" s="1"/>
      <c r="L38" s="1"/>
      <c r="M38" s="1"/>
      <c r="N38" s="1"/>
      <c r="O38" s="1"/>
      <c r="P38" s="1"/>
      <c r="Q38" s="1"/>
      <c r="R38" s="1"/>
    </row>
  </sheetData>
  <autoFilter ref="A3:K3" xr:uid="{724DD6A6-A64F-4E5D-ACA6-C4CC2FBFC3F1}"/>
  <mergeCells count="1">
    <mergeCell ref="A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 amount vs gender</vt:lpstr>
      <vt:lpstr>Total Amount VS Month</vt:lpstr>
      <vt:lpstr>Total Amount VS FoodItemVS Gend</vt:lpstr>
      <vt:lpstr>Total Amount VS Age Group</vt:lpstr>
      <vt:lpstr>Total Amount VS Food item </vt:lpstr>
      <vt:lpstr>Top 10</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sayali lohar</dc:creator>
  <cp:lastModifiedBy>sayali lohar</cp:lastModifiedBy>
  <dcterms:created xsi:type="dcterms:W3CDTF">2026-06-12T15:35:25Z</dcterms:created>
  <dcterms:modified xsi:type="dcterms:W3CDTF">2026-10-11T12:42:41Z</dcterms:modified>
</cp:coreProperties>
</file>